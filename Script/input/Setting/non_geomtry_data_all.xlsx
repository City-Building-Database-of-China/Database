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earch\epp\仿真准备\sch\"/>
    </mc:Choice>
  </mc:AlternateContent>
  <xr:revisionPtr revIDLastSave="0" documentId="13_ncr:1_{53AA53A9-A8C2-41DA-AF9A-BA20890215FF}" xr6:coauthVersionLast="47" xr6:coauthVersionMax="47" xr10:uidLastSave="{00000000-0000-0000-0000-000000000000}"/>
  <bookViews>
    <workbookView xWindow="2055" yWindow="-16320" windowWidth="29040" windowHeight="15720" tabRatio="889" firstSheet="6" activeTab="13" xr2:uid="{90CAEDA1-45E1-48AE-8B92-616C2E885D19}"/>
  </bookViews>
  <sheets>
    <sheet name="Functions" sheetId="13" r:id="rId1"/>
    <sheet name="WWR" sheetId="11" r:id="rId2"/>
    <sheet name="SIMULATIONCONTROL" sheetId="27" r:id="rId3"/>
    <sheet name="VERSION" sheetId="30" r:id="rId4"/>
    <sheet name="BUILDING" sheetId="24" r:id="rId5"/>
    <sheet name="TIMESTEP" sheetId="25" r:id="rId6"/>
    <sheet name="RUNPERIOD" sheetId="29" r:id="rId7"/>
    <sheet name="SITE_LOCATION" sheetId="26" r:id="rId8"/>
    <sheet name="SIZINGPERIOD_DESIGNDAY" sheetId="28" r:id="rId9"/>
    <sheet name="SIZING_ZONE" sheetId="32" r:id="rId10"/>
    <sheet name="SHADOWCALCULATION" sheetId="31" r:id="rId11"/>
    <sheet name="GLOBALGEOMETRYRULES" sheetId="35" r:id="rId12"/>
    <sheet name="SCHEDULETYPELIMITS" sheetId="1" r:id="rId13"/>
    <sheet name="SCHEDULE_DAY_HOURLY" sheetId="2" r:id="rId14"/>
    <sheet name="SCHEDULE_WEEK_DAILY" sheetId="3" r:id="rId15"/>
    <sheet name="SCHEDULE_YEAR" sheetId="5" r:id="rId16"/>
    <sheet name="MATERIAL_NOMASS" sheetId="8" r:id="rId17"/>
    <sheet name="WINDOWMATERIAL" sheetId="9" r:id="rId18"/>
    <sheet name="CONSTRUCTION" sheetId="10" r:id="rId19"/>
    <sheet name="PEOPLE" sheetId="14" r:id="rId20"/>
    <sheet name="LIGHTS" sheetId="15" r:id="rId21"/>
    <sheet name="ELECTRICEQUIPMENT" sheetId="16" r:id="rId22"/>
    <sheet name="THERMOSTATSETPOINT_DUALSETPOINT" sheetId="17" r:id="rId23"/>
    <sheet name="ZONECONTROL_THERMOSTAT" sheetId="18" r:id="rId24"/>
    <sheet name="HVACTEMPLATE_THERMOSTAT" sheetId="23" r:id="rId25"/>
    <sheet name="ZONEINFILTRATION_DESIGNFLOWRATE" sheetId="19" r:id="rId26"/>
    <sheet name="DESIGNSPECIFICATION_OUTDOORAIR" sheetId="20" r:id="rId27"/>
    <sheet name="ZONEHVAC_IDEALLOADSAIRSYSTEM" sheetId="22" r:id="rId28"/>
    <sheet name="OUTPUT_VARIABLE" sheetId="33" r:id="rId29"/>
    <sheet name="OUTPUT_VARIABLEDICTIONARY" sheetId="36" r:id="rId30"/>
    <sheet name="Sheet9" sheetId="21" r:id="rId31"/>
    <sheet name="xxx" sheetId="4" r:id="rId32"/>
    <sheet name="Sheet2" sheetId="7" r:id="rId3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8" l="1"/>
  <c r="E50" i="8"/>
  <c r="E41" i="8"/>
  <c r="E44" i="8"/>
  <c r="E8" i="20"/>
  <c r="E9" i="20"/>
  <c r="E10" i="8"/>
  <c r="E13" i="8"/>
  <c r="E2" i="8"/>
  <c r="E37" i="8"/>
  <c r="E34" i="8"/>
  <c r="E31" i="8"/>
  <c r="E28" i="8"/>
  <c r="E25" i="8"/>
  <c r="E22" i="8"/>
  <c r="E19" i="8"/>
  <c r="E16" i="8"/>
  <c r="E7" i="20"/>
  <c r="E6" i="20"/>
  <c r="E5" i="20"/>
  <c r="E4" i="20"/>
  <c r="E3" i="20"/>
  <c r="E2" i="20"/>
  <c r="H6" i="14"/>
  <c r="H5" i="14"/>
  <c r="H3" i="14"/>
  <c r="H2" i="14"/>
</calcChain>
</file>

<file path=xl/sharedStrings.xml><?xml version="1.0" encoding="utf-8"?>
<sst xmlns="http://schemas.openxmlformats.org/spreadsheetml/2006/main" count="2847" uniqueCount="1079">
  <si>
    <t>Name</t>
  </si>
  <si>
    <t>Temperature</t>
  </si>
  <si>
    <t>SCHEDULETYPELIMITS</t>
    <phoneticPr fontId="1" type="noConversion"/>
  </si>
  <si>
    <t>Continuous</t>
  </si>
  <si>
    <t>On/Off</t>
  </si>
  <si>
    <t>Fractional</t>
    <phoneticPr fontId="1" type="noConversion"/>
  </si>
  <si>
    <t>temperature</t>
  </si>
  <si>
    <t>availability</t>
    <phoneticPr fontId="1" type="noConversion"/>
  </si>
  <si>
    <t>dimensionless</t>
  </si>
  <si>
    <t>Function</t>
    <phoneticPr fontId="1" type="noConversion"/>
  </si>
  <si>
    <t>Office</t>
    <phoneticPr fontId="1" type="noConversion"/>
  </si>
  <si>
    <t>Discrete</t>
    <phoneticPr fontId="1" type="noConversion"/>
  </si>
  <si>
    <t>Activity</t>
    <phoneticPr fontId="1" type="noConversion"/>
  </si>
  <si>
    <t>Schedule_Type_Limits_Name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</si>
  <si>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</si>
  <si>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</si>
  <si>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</si>
  <si>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</si>
  <si>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</si>
  <si>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</si>
  <si>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</si>
  <si>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</si>
  <si>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</si>
  <si>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</si>
  <si>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</si>
  <si>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</si>
  <si>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</si>
  <si>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</si>
  <si>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</si>
  <si>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</si>
  <si>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</si>
  <si>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</si>
  <si>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</si>
  <si>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</si>
  <si>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</si>
  <si>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</si>
  <si>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</si>
  <si>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</si>
  <si>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Lower_Limit_Value</t>
  </si>
  <si>
    <t>Upper_Limit_Value</t>
  </si>
  <si>
    <t>Numeric_Type</t>
  </si>
  <si>
    <t>Unit_Type</t>
  </si>
  <si>
    <t>Name</t>
    <phoneticPr fontId="1" type="noConversion"/>
  </si>
  <si>
    <t>Schedule_office_heating_summer_weekly</t>
    <phoneticPr fontId="1" type="noConversion"/>
  </si>
  <si>
    <t>Schedule_office_heating_summer_hourly</t>
    <phoneticPr fontId="1" type="noConversion"/>
  </si>
  <si>
    <t>Schedule_office_heating_winnter_weekday_hourly</t>
    <phoneticPr fontId="1" type="noConversion"/>
  </si>
  <si>
    <t>Schedule_office_heating_winnter_holiday_hourly</t>
    <phoneticPr fontId="1" type="noConversion"/>
  </si>
  <si>
    <t>Schedule_office_cooling_winter_hourly</t>
    <phoneticPr fontId="1" type="noConversion"/>
  </si>
  <si>
    <t>Schedule_office_cooling_summer_weekday_hourly</t>
    <phoneticPr fontId="1" type="noConversion"/>
  </si>
  <si>
    <t>Schedule_office_cooling_summer_holiday_hourly</t>
    <phoneticPr fontId="1" type="noConversion"/>
  </si>
  <si>
    <t>Schedule_office_lighting_weekday_hourly</t>
    <phoneticPr fontId="1" type="noConversion"/>
  </si>
  <si>
    <t>Schedule_office_lighting_holiday_hourly</t>
    <phoneticPr fontId="1" type="noConversion"/>
  </si>
  <si>
    <t>Schedule_office_equipment_weekday_hourly</t>
    <phoneticPr fontId="1" type="noConversion"/>
  </si>
  <si>
    <t>Schedule_office_equipment_holiday_hourly</t>
    <phoneticPr fontId="1" type="noConversion"/>
  </si>
  <si>
    <t>Schedule_office_people_weekday_hourly</t>
    <phoneticPr fontId="1" type="noConversion"/>
  </si>
  <si>
    <t>Schedule_office_people_holiday_hourly</t>
    <phoneticPr fontId="1" type="noConversion"/>
  </si>
  <si>
    <t>Schedule_office_infiltrion_onoff_hourly</t>
    <phoneticPr fontId="1" type="noConversion"/>
  </si>
  <si>
    <t>Schedule_office_heating_winnter_weekly</t>
    <phoneticPr fontId="1" type="noConversion"/>
  </si>
  <si>
    <t>Schedule_office_cooling_winnter_weekly</t>
    <phoneticPr fontId="1" type="noConversion"/>
  </si>
  <si>
    <t>Schedule_office_cooling_summer_weekly</t>
    <phoneticPr fontId="1" type="noConversion"/>
  </si>
  <si>
    <t>Schedule_office_lighting_weekly</t>
    <phoneticPr fontId="1" type="noConversion"/>
  </si>
  <si>
    <t>Schedule_office_equipment_weekly</t>
    <phoneticPr fontId="1" type="noConversion"/>
  </si>
  <si>
    <t>Schedule_office_people_weekly</t>
    <phoneticPr fontId="1" type="noConversion"/>
  </si>
  <si>
    <t>Schedule_office_infiltrion_onoff_weekly</t>
    <phoneticPr fontId="1" type="noConversion"/>
  </si>
  <si>
    <t>SeasonalSchedule_office_heating</t>
    <phoneticPr fontId="1" type="noConversion"/>
  </si>
  <si>
    <t>SeasonalSchedule_office_cooling</t>
    <phoneticPr fontId="1" type="noConversion"/>
  </si>
  <si>
    <t>SeasonalSchedule_office_lighting</t>
    <phoneticPr fontId="1" type="noConversion"/>
  </si>
  <si>
    <t>SeasonalSchedule_Schedule_office_equipment</t>
    <phoneticPr fontId="1" type="noConversion"/>
  </si>
  <si>
    <t>SeasonalSchedule_Schedule_office_people</t>
    <phoneticPr fontId="1" type="noConversion"/>
  </si>
  <si>
    <t>SeasonalSchedule_Schedule_office_infiltrion_onoff</t>
    <phoneticPr fontId="1" type="noConversion"/>
  </si>
  <si>
    <t>On/Off</t>
    <phoneticPr fontId="1" type="noConversion"/>
  </si>
  <si>
    <t>Heating Setpoint Temperature Schedule Name</t>
  </si>
  <si>
    <t>Cooling Setpoint Temperature Schedule Name</t>
  </si>
  <si>
    <t>Setpoint_office</t>
    <phoneticPr fontId="1" type="noConversion"/>
  </si>
  <si>
    <t>Schedule_commerical_heating_summer_hourly</t>
  </si>
  <si>
    <t>Schedule_commerical_heating_winnter_weekday_hourly</t>
  </si>
  <si>
    <t>Schedule_commerical_heating_winnter_holiday_hourly</t>
  </si>
  <si>
    <t>Schedule_commerical_cooling_winter_hourly</t>
  </si>
  <si>
    <t>Schedule_commerical_cooling_summer_weekday_hourly</t>
  </si>
  <si>
    <t>Schedule_commerical_cooling_summer_holiday_hourly</t>
  </si>
  <si>
    <t>Schedule_commerical_lighting_weekday_hourly</t>
  </si>
  <si>
    <t>Schedule_commerical_lighting_holiday_hourly</t>
  </si>
  <si>
    <t>Schedule_commerical_equipment_weekday_hourly</t>
  </si>
  <si>
    <t>Schedule_commerical_equipment_holiday_hourly</t>
  </si>
  <si>
    <t>Schedule_commerical_people_weekday_hourly</t>
  </si>
  <si>
    <t>Schedule_commerical_people_holiday_hourly</t>
  </si>
  <si>
    <t>Schedule_commerical_infiltrion_onoff_hourly</t>
  </si>
  <si>
    <t>Schedule_residential_heating_summer_hourly</t>
  </si>
  <si>
    <t>Schedule_residential_heating_winnter_weekday_hourly</t>
  </si>
  <si>
    <t>Schedule_residential_heating_winnter_holiday_hourly</t>
  </si>
  <si>
    <t>Schedule_residential_cooling_winter_hourly</t>
  </si>
  <si>
    <t>Schedule_residential_cooling_summer_weekday_hourly</t>
  </si>
  <si>
    <t>Schedule_residential_cooling_summer_holiday_hourly</t>
  </si>
  <si>
    <t>Schedule_residential_lighting_weekday_hourly</t>
  </si>
  <si>
    <t>Schedule_residential_lighting_holiday_hourly</t>
  </si>
  <si>
    <t>Schedule_residential_equipment_weekday_hourly</t>
  </si>
  <si>
    <t>Schedule_residential_equipment_holiday_hourly</t>
  </si>
  <si>
    <t>Schedule_residential_people_weekday_hourly</t>
  </si>
  <si>
    <t>Schedule_residential_people_holiday_hourly</t>
  </si>
  <si>
    <t>Schedule_residential_infiltrion_onoff_hourly</t>
  </si>
  <si>
    <t>School</t>
    <phoneticPr fontId="1" type="noConversion"/>
  </si>
  <si>
    <t>Schedule_school_heating_summer_hourly</t>
  </si>
  <si>
    <t>Schedule_school_heating_winnter_weekday_hourly</t>
  </si>
  <si>
    <t>Schedule_school_heating_winnter_holiday_hourly</t>
  </si>
  <si>
    <t>Schedule_school_cooling_winter_hourly</t>
  </si>
  <si>
    <t>Schedule_school_cooling_summer_weekday_hourly</t>
  </si>
  <si>
    <t>Schedule_school_cooling_summer_holiday_hourly</t>
  </si>
  <si>
    <t>Schedule_school_lighting_weekday_hourly</t>
  </si>
  <si>
    <t>Schedule_school_lighting_holiday_hourly</t>
  </si>
  <si>
    <t>Schedule_school_equipment_weekday_hourly</t>
  </si>
  <si>
    <t>Schedule_school_equipment_holiday_hourly</t>
  </si>
  <si>
    <t>Schedule_school_people_weekday_hourly</t>
  </si>
  <si>
    <t>Schedule_school_people_holiday_hourly</t>
  </si>
  <si>
    <t>Schedule_school_infiltrion_onoff_hourly</t>
  </si>
  <si>
    <t>Hospital</t>
    <phoneticPr fontId="1" type="noConversion"/>
  </si>
  <si>
    <t>Schedule_hospital_heating_summer_hourly</t>
  </si>
  <si>
    <t>Schedule_hospital_heating_winnter_weekday_hourly</t>
  </si>
  <si>
    <t>Schedule_hospital_heating_winnter_holiday_hourly</t>
  </si>
  <si>
    <t>Schedule_hospital_cooling_winter_hourly</t>
  </si>
  <si>
    <t>Schedule_hospital_cooling_summer_weekday_hourly</t>
  </si>
  <si>
    <t>Schedule_hospital_cooling_summer_holiday_hourly</t>
  </si>
  <si>
    <t>Schedule_hospital_lighting_weekday_hourly</t>
  </si>
  <si>
    <t>Schedule_hospital_lighting_holiday_hourly</t>
  </si>
  <si>
    <t>Schedule_hospital_equipment_weekday_hourly</t>
  </si>
  <si>
    <t>Schedule_hospital_equipment_holiday_hourly</t>
  </si>
  <si>
    <t>Schedule_hospital_people_weekday_hourly</t>
  </si>
  <si>
    <t>Schedule_hospital_people_holiday_hourly</t>
  </si>
  <si>
    <t>Schedule_hospital_infiltrion_onoff_hourly</t>
  </si>
  <si>
    <t>Industrial buildings</t>
    <phoneticPr fontId="1" type="noConversion"/>
  </si>
  <si>
    <t>Schedule_office_ventilation_weekday_hourly</t>
    <phoneticPr fontId="1" type="noConversion"/>
  </si>
  <si>
    <t>Schedule_office_ventilation_holiday_hourly</t>
    <phoneticPr fontId="1" type="noConversion"/>
  </si>
  <si>
    <t>Schedule_school_ventilation_weekday_hourly</t>
  </si>
  <si>
    <t>Schedule_school_ventilation_weekday_hourly</t>
    <phoneticPr fontId="1" type="noConversion"/>
  </si>
  <si>
    <t>Schedule_school_ventilation_holiday_hourly</t>
  </si>
  <si>
    <t>Schedule_school_ventilation_holiday_hourly</t>
    <phoneticPr fontId="1" type="noConversion"/>
  </si>
  <si>
    <t>Schedule_hospital_ventilation_weekday_hourly</t>
  </si>
  <si>
    <t>Schedule_hospital_ventilation_weekday_hourly</t>
    <phoneticPr fontId="1" type="noConversion"/>
  </si>
  <si>
    <t>Schedule_hospital_ventilation_holiday_hourly</t>
  </si>
  <si>
    <t>Schedule_hospital_ventilation_holiday_hourly</t>
    <phoneticPr fontId="1" type="noConversion"/>
  </si>
  <si>
    <t>Schedule_commerical_ventilation_holiday_hourly</t>
  </si>
  <si>
    <t>Schedule_commerical_ventilation_holiday_hourly</t>
    <phoneticPr fontId="1" type="noConversion"/>
  </si>
  <si>
    <t>Schedule_commerical_ventilation_weekday_hourly</t>
  </si>
  <si>
    <t>Schedule_commerical_ventilation_weekday_hourly</t>
    <phoneticPr fontId="1" type="noConversion"/>
  </si>
  <si>
    <t>Schedule_office_ventilation_weekly</t>
    <phoneticPr fontId="1" type="noConversion"/>
  </si>
  <si>
    <t>Schedule_commerical_heating_summer_hourly</t>
    <phoneticPr fontId="1" type="noConversion"/>
  </si>
  <si>
    <t>Schedule_commerical_heating_summer_weekly</t>
  </si>
  <si>
    <t>Schedule_commerical_heating_winnter_weekly</t>
  </si>
  <si>
    <t>Schedule_commerical_cooling_winnter_weekly</t>
  </si>
  <si>
    <t>Schedule_commerical_cooling_summer_weekly</t>
  </si>
  <si>
    <t>Schedule_commerical_lighting_weekly</t>
  </si>
  <si>
    <t>Schedule_commerical_equipment_weekly</t>
  </si>
  <si>
    <t>Schedule_commerical_people_weekly</t>
  </si>
  <si>
    <t>Schedule_commerical_infiltrion_onoff_weekly</t>
  </si>
  <si>
    <t>Schedule_commerical_ventilation_weekly</t>
  </si>
  <si>
    <t>Schedule_residential_cooling_summer_weekday_hourly</t>
    <phoneticPr fontId="1" type="noConversion"/>
  </si>
  <si>
    <t>Schedule_residential_heating_summer_weekly</t>
  </si>
  <si>
    <t>Schedule_residential_heating_winnter_weekly</t>
  </si>
  <si>
    <t>Schedule_residential_cooling_winnter_weekly</t>
  </si>
  <si>
    <t>Schedule_residential_cooling_summer_weekly</t>
  </si>
  <si>
    <t>Schedule_residential_lighting_weekly</t>
  </si>
  <si>
    <t>Schedule_residential_equipment_weekly</t>
  </si>
  <si>
    <t>Schedule_residential_infiltrion_onoff_weekly</t>
  </si>
  <si>
    <t>Schedule_residential_heating_winnter_weekday_hourly</t>
    <phoneticPr fontId="1" type="noConversion"/>
  </si>
  <si>
    <t>Schedule_school_heating_summer_weekly</t>
  </si>
  <si>
    <t>Schedule_school_heating_winnter_weekly</t>
  </si>
  <si>
    <t>Schedule_school_cooling_winnter_weekly</t>
  </si>
  <si>
    <t>Schedule_school_cooling_summer_weekly</t>
  </si>
  <si>
    <t>Schedule_school_lighting_weekly</t>
  </si>
  <si>
    <t>Schedule_school_equipment_weekly</t>
  </si>
  <si>
    <t>Schedule_school_infiltrion_onoff_weekly</t>
  </si>
  <si>
    <t>Schedule_school_ventilation_weekly</t>
  </si>
  <si>
    <t>Schedule_hospital_cooling_summer_holiday_hourly</t>
    <phoneticPr fontId="1" type="noConversion"/>
  </si>
  <si>
    <t>Schedule_hospital_heating_summer_weekly</t>
  </si>
  <si>
    <t>Schedule_hospital_heating_winnter_weekly</t>
  </si>
  <si>
    <t>Schedule_hospital_cooling_winnter_weekly</t>
  </si>
  <si>
    <t>Schedule_hospital_cooling_summer_weekly</t>
  </si>
  <si>
    <t>Schedule_hospital_lighting_weekly</t>
  </si>
  <si>
    <t>Schedule_hospital_equipment_weekly</t>
  </si>
  <si>
    <t>Schedule_hospital_infiltrion_onoff_weekly</t>
  </si>
  <si>
    <t>Schedule_hospital_ventilation_weekly</t>
  </si>
  <si>
    <t>Schedule_Industrial_heating_summer_hourly</t>
  </si>
  <si>
    <t>Schedule_Industrial_heating_summer_hourly</t>
    <phoneticPr fontId="1" type="noConversion"/>
  </si>
  <si>
    <t>Schedule_Industrial_heating_winnter_weekday_hourly</t>
  </si>
  <si>
    <t>Schedule_Industrial_heating_winnter_holiday_hourly</t>
  </si>
  <si>
    <t>Schedule_Industrial_cooling_winter_hourly</t>
  </si>
  <si>
    <t>Schedule_Industrial_cooling_summer_weekday_hourly</t>
  </si>
  <si>
    <t>Schedule_Industrial_cooling_summer_holiday_hourly</t>
  </si>
  <si>
    <t>Schedule_Industrial_lighting_weekday_hourly</t>
  </si>
  <si>
    <t>Schedule_Industrial_lighting_holiday_hourly</t>
  </si>
  <si>
    <t>Schedule_Industrial_equipment_weekday_hourly</t>
  </si>
  <si>
    <t>Schedule_Industrial_equipment_holiday_hourly</t>
  </si>
  <si>
    <t>Schedule_Industrial_people_weekday_hourly</t>
  </si>
  <si>
    <t>Schedule_Industrial_people_holiday_hourly</t>
  </si>
  <si>
    <t>Schedule_Industrial_infiltrion_onoff_hourly</t>
  </si>
  <si>
    <t>Schedule_Industrial_heating_summer_weekly</t>
  </si>
  <si>
    <t>Schedule_Industrial_heating_winnter_weekly</t>
  </si>
  <si>
    <t>Schedule_Industrial_cooling_winnter_weekly</t>
  </si>
  <si>
    <t>Schedule_Industrial_cooling_summer_weekly</t>
  </si>
  <si>
    <t>Schedule_Industrial_lighting_weekly</t>
  </si>
  <si>
    <t>Schedule_Industrial_equipment_weekly</t>
  </si>
  <si>
    <t>Schedule_Industrial_people_weekly</t>
  </si>
  <si>
    <t>Schedule_Industrial_infiltrion_onoff_weekly</t>
  </si>
  <si>
    <t>Schedule_Industrial_ventilation_weekly</t>
  </si>
  <si>
    <t>Schedule_Industrial_ventilation_holiday_hourly</t>
  </si>
  <si>
    <t>Schedule_Industrial_ventilation_weekday_hourly</t>
  </si>
  <si>
    <t>Residential buildings</t>
    <phoneticPr fontId="1" type="noConversion"/>
  </si>
  <si>
    <t>Schedule_office_ventilation</t>
    <phoneticPr fontId="1" type="noConversion"/>
  </si>
  <si>
    <t>Schedule_commerical_heating_winnter_weekday_hourly</t>
    <phoneticPr fontId="1" type="noConversion"/>
  </si>
  <si>
    <t>SeasonalSchedule_commerical_heating</t>
  </si>
  <si>
    <t>SeasonalSchedule_commerical_lighting</t>
  </si>
  <si>
    <t>SeasonalSchedule_Schedule_commerical_equipment</t>
  </si>
  <si>
    <t>SeasonalSchedule_Schedule_commerical_people</t>
  </si>
  <si>
    <t>Schedule_residential_cooling_summer_holiday_hourly</t>
    <phoneticPr fontId="1" type="noConversion"/>
  </si>
  <si>
    <t>SeasonalSchedule_residential_heating</t>
  </si>
  <si>
    <t>SeasonalSchedule_residential_cooling</t>
  </si>
  <si>
    <t>SeasonalSchedule_residential_lighting</t>
  </si>
  <si>
    <t>SeasonalSchedule_Schedule_residential_equipment</t>
  </si>
  <si>
    <t>SeasonalSchedule_Schedule_residential_people</t>
  </si>
  <si>
    <t>SeasonalSchedule_Schedule_residential_infiltrion_onoff</t>
  </si>
  <si>
    <t>SeasonalSchedule_school_heating</t>
  </si>
  <si>
    <t>SeasonalSchedule_school_cooling</t>
  </si>
  <si>
    <t>SeasonalSchedule_school_lighting</t>
  </si>
  <si>
    <t>SeasonalSchedule_Schedule_school_equipment</t>
  </si>
  <si>
    <t>SeasonalSchedule_Schedule_school_people</t>
  </si>
  <si>
    <t>SeasonalSchedule_Schedule_school_infiltrion_onoff</t>
  </si>
  <si>
    <t>Schedule_school_ventilation</t>
  </si>
  <si>
    <t>SeasonalSchedule_hospital_heating</t>
  </si>
  <si>
    <t>SeasonalSchedule_hospital_cooling</t>
  </si>
  <si>
    <t>SeasonalSchedule_hospital_lighting</t>
  </si>
  <si>
    <t>SeasonalSchedule_Schedule_hospital_equipment</t>
  </si>
  <si>
    <t>SeasonalSchedule_Schedule_hospital_people</t>
  </si>
  <si>
    <t>SeasonalSchedule_Schedule_hospital_infiltrion_onoff</t>
  </si>
  <si>
    <t>Schedule_hospital_ventilation</t>
  </si>
  <si>
    <t>Schedule_Industrial_cooling_summer_weekday_hourly</t>
    <phoneticPr fontId="1" type="noConversion"/>
  </si>
  <si>
    <t>SeasonalSchedule_Industrial_heating</t>
  </si>
  <si>
    <t>SeasonalSchedule_Industrial_cooling</t>
  </si>
  <si>
    <t>SeasonalSchedule_Industrial_lighting</t>
  </si>
  <si>
    <t>SeasonalSchedule_Schedule_Industrial_equipment</t>
  </si>
  <si>
    <t>SeasonalSchedule_Schedule_Industrial_people</t>
  </si>
  <si>
    <t>SeasonalSchedule_Schedule_Industrial_infiltrion_onoff</t>
  </si>
  <si>
    <t>Schedule_Industrial_ventilation</t>
  </si>
  <si>
    <t>SeasonalSchedule_commerical_cooling</t>
    <phoneticPr fontId="1" type="noConversion"/>
  </si>
  <si>
    <t>LIGHTS</t>
    <phoneticPr fontId="1" type="noConversion"/>
  </si>
  <si>
    <t>THERMOSTATSETPOINT:SINGLECOOLING</t>
  </si>
  <si>
    <t>THERMOSTATSETPOINT:SINGLEHEATING</t>
    <phoneticPr fontId="1" type="noConversion"/>
  </si>
  <si>
    <t>Zone or ZoneList or Space or SpaceList Name</t>
  </si>
  <si>
    <t>Schedule Name</t>
  </si>
  <si>
    <t>Design Level Calculation Method</t>
  </si>
  <si>
    <t>Lighting Level</t>
  </si>
  <si>
    <t>Watts per Zone Floor Area</t>
  </si>
  <si>
    <t>Watts per Person</t>
  </si>
  <si>
    <t>Return Air Fraction</t>
  </si>
  <si>
    <t>Fraction Radiant</t>
  </si>
  <si>
    <t>Fraction Radiant</t>
    <phoneticPr fontId="1" type="noConversion"/>
  </si>
  <si>
    <t>Fraction Visible</t>
  </si>
  <si>
    <t>Fraction Replaceable</t>
  </si>
  <si>
    <t>EndUse Subcategory</t>
  </si>
  <si>
    <t>Return Air Fraction Calculated from Plenum Temperature</t>
    <phoneticPr fontId="1" type="noConversion"/>
  </si>
  <si>
    <t>Return Air Fraction Function of Plenum Temperature Coefficient 1</t>
  </si>
  <si>
    <t>Return Air Fraction Function of Plenum Temperature Coefficient 2</t>
  </si>
  <si>
    <t>Schedule Name</t>
    <phoneticPr fontId="1" type="noConversion"/>
  </si>
  <si>
    <t>ZONECONTROL:THERMOSTAT</t>
  </si>
  <si>
    <t>Zone or ZoneList Name</t>
  </si>
  <si>
    <t>Control Type Schedule Name</t>
    <phoneticPr fontId="1" type="noConversion"/>
  </si>
  <si>
    <t>Control 1 Object Type</t>
  </si>
  <si>
    <t>Control 1 Name</t>
  </si>
  <si>
    <t>Control 2 Object Type</t>
  </si>
  <si>
    <t>Control 2 Name</t>
  </si>
  <si>
    <t>Control 3 Object Type</t>
  </si>
  <si>
    <t>Control 3 Name</t>
    <phoneticPr fontId="1" type="noConversion"/>
  </si>
  <si>
    <t>Control 4 Object Type</t>
    <phoneticPr fontId="1" type="noConversion"/>
  </si>
  <si>
    <t>Control 4 Name</t>
  </si>
  <si>
    <t>Temperature Difference Between Cutout And Setpoint</t>
  </si>
  <si>
    <t>People</t>
  </si>
  <si>
    <t>Number of People Schedule Name</t>
  </si>
  <si>
    <t>Number of People Calculation Method</t>
  </si>
  <si>
    <t>Number of People</t>
  </si>
  <si>
    <t>People per Floor Area {person/m2}</t>
  </si>
  <si>
    <t>Floor Area per Person {m2/person}</t>
  </si>
  <si>
    <t>Sensible Heat Fraction</t>
  </si>
  <si>
    <t>Activity Level Schedule Name</t>
  </si>
  <si>
    <t>ElectricEquipment</t>
  </si>
  <si>
    <t>Design Level {W}</t>
  </si>
  <si>
    <t>Watts per Zone Floor Area {W/m2}</t>
  </si>
  <si>
    <t>Watts per Person {W/person}</t>
  </si>
  <si>
    <t>Fraction Latent</t>
    <phoneticPr fontId="1" type="noConversion"/>
  </si>
  <si>
    <t>Fraction Lost</t>
    <phoneticPr fontId="1" type="noConversion"/>
  </si>
  <si>
    <t>End-Use Subcategory</t>
  </si>
  <si>
    <t>ZoneInfiltration:DesignFlowRate</t>
    <phoneticPr fontId="1" type="noConversion"/>
  </si>
  <si>
    <t>Design Flow Rate Calculation Method</t>
    <phoneticPr fontId="1" type="noConversion"/>
  </si>
  <si>
    <t>Design Flow Rate {m3/s}</t>
    <phoneticPr fontId="1" type="noConversion"/>
  </si>
  <si>
    <t>Flow Rate per Floor Area {m3/s-m2}</t>
    <phoneticPr fontId="1" type="noConversion"/>
  </si>
  <si>
    <t>Flow Rate per Exterior Surface Area {m3/s-m2}</t>
  </si>
  <si>
    <t xml:space="preserve"> Air Changes per Hour {1/hr}</t>
  </si>
  <si>
    <t>Constant Term Coefficient</t>
    <phoneticPr fontId="1" type="noConversion"/>
  </si>
  <si>
    <t>Temperature Term Coefficient</t>
    <phoneticPr fontId="1" type="noConversion"/>
  </si>
  <si>
    <t>Velocity Term Coefficient</t>
    <phoneticPr fontId="1" type="noConversion"/>
  </si>
  <si>
    <t>Velocity Squared Term Coefficient</t>
  </si>
  <si>
    <t xml:space="preserve">Residential 
</t>
    <phoneticPr fontId="1" type="noConversion"/>
  </si>
  <si>
    <t xml:space="preserve">Commercial 
</t>
    <phoneticPr fontId="1" type="noConversion"/>
  </si>
  <si>
    <t>Residential</t>
    <phoneticPr fontId="1" type="noConversion"/>
  </si>
  <si>
    <t xml:space="preserve">Commercial </t>
    <phoneticPr fontId="1" type="noConversion"/>
  </si>
  <si>
    <t>Industrial</t>
    <phoneticPr fontId="1" type="noConversion"/>
  </si>
  <si>
    <t>SCHEDULE:YEAR</t>
    <phoneticPr fontId="1" type="noConversion"/>
  </si>
  <si>
    <t>SCHEDULE:DAY:HOURLY</t>
    <phoneticPr fontId="1" type="noConversion"/>
  </si>
  <si>
    <t>Start_Month_1</t>
  </si>
  <si>
    <t>Start_Day_1</t>
  </si>
  <si>
    <t>End_Month_1</t>
  </si>
  <si>
    <t>End_Day_1</t>
  </si>
  <si>
    <t>Start_Month_2</t>
  </si>
  <si>
    <t>Start_Day_2</t>
  </si>
  <si>
    <t>End_Month_2</t>
  </si>
  <si>
    <t>End_Day_2</t>
  </si>
  <si>
    <t>Start_Month_3</t>
  </si>
  <si>
    <t>Start_Day_3</t>
  </si>
  <si>
    <t>End_Month_3</t>
  </si>
  <si>
    <t>End_Day_3</t>
  </si>
  <si>
    <t>idf</t>
    <phoneticPr fontId="1" type="noConversion"/>
  </si>
  <si>
    <t>SCHEDULE:WEEK:DAILY</t>
    <phoneticPr fontId="1" type="noConversion"/>
  </si>
  <si>
    <t>Schedule_Type_Limits_Name</t>
    <phoneticPr fontId="1" type="noConversion"/>
  </si>
  <si>
    <t>THERMOSTATSETPOINT:DUALSETPOINT</t>
    <phoneticPr fontId="1" type="noConversion"/>
  </si>
  <si>
    <t>Sunday_ScheduleDay_Name</t>
    <phoneticPr fontId="1" type="noConversion"/>
  </si>
  <si>
    <t>Monday_ScheduleDay_Name</t>
    <phoneticPr fontId="1" type="noConversion"/>
  </si>
  <si>
    <t>Tuesday_ScheduleDay_Name</t>
    <phoneticPr fontId="1" type="noConversion"/>
  </si>
  <si>
    <t>Wednesday_ScheduleDay_Name</t>
    <phoneticPr fontId="1" type="noConversion"/>
  </si>
  <si>
    <t>Thursday_ScheduleDay_Name</t>
    <phoneticPr fontId="1" type="noConversion"/>
  </si>
  <si>
    <t>Friday_ScheduleDay_Name</t>
    <phoneticPr fontId="1" type="noConversion"/>
  </si>
  <si>
    <t>Saturday_ScheduleDay_Name</t>
    <phoneticPr fontId="1" type="noConversion"/>
  </si>
  <si>
    <t>Holiday_ScheduleDay_Name</t>
    <phoneticPr fontId="1" type="noConversion"/>
  </si>
  <si>
    <t>ScheduleWeek_Name_1</t>
    <phoneticPr fontId="1" type="noConversion"/>
  </si>
  <si>
    <t>ScheduleWeek_Name_2</t>
    <phoneticPr fontId="1" type="noConversion"/>
  </si>
  <si>
    <t>ScheduleWeek_Name_3</t>
    <phoneticPr fontId="1" type="noConversion"/>
  </si>
  <si>
    <t>Roughness</t>
    <phoneticPr fontId="1" type="noConversion"/>
  </si>
  <si>
    <t>Residential_exterior_wall</t>
    <phoneticPr fontId="1" type="noConversion"/>
  </si>
  <si>
    <t>MediumRough</t>
    <phoneticPr fontId="1" type="noConversion"/>
  </si>
  <si>
    <t>Residential_interior_wall</t>
    <phoneticPr fontId="1" type="noConversion"/>
  </si>
  <si>
    <t>Residential_roof</t>
    <phoneticPr fontId="1" type="noConversion"/>
  </si>
  <si>
    <t>Residential_floor</t>
    <phoneticPr fontId="1" type="noConversion"/>
  </si>
  <si>
    <t>WINDOWMATERIAL:SIMPLEGLAZINGSYSTEM</t>
    <phoneticPr fontId="1" type="noConversion"/>
  </si>
  <si>
    <t>Residential_east_window</t>
    <phoneticPr fontId="1" type="noConversion"/>
  </si>
  <si>
    <t>Residential_south_window</t>
    <phoneticPr fontId="1" type="noConversion"/>
  </si>
  <si>
    <t>Residential_west_window</t>
    <phoneticPr fontId="1" type="noConversion"/>
  </si>
  <si>
    <t>Residential_north_window</t>
    <phoneticPr fontId="1" type="noConversion"/>
  </si>
  <si>
    <t>CONSTRUCTION</t>
    <phoneticPr fontId="1" type="noConversion"/>
  </si>
  <si>
    <t>Residential_exterior_wall_construction</t>
    <phoneticPr fontId="1" type="noConversion"/>
  </si>
  <si>
    <t>Residential_east_window_construction</t>
    <phoneticPr fontId="1" type="noConversion"/>
  </si>
  <si>
    <t>Residential_south_window_construction</t>
    <phoneticPr fontId="1" type="noConversion"/>
  </si>
  <si>
    <t>Residential_west_window_construction</t>
    <phoneticPr fontId="1" type="noConversion"/>
  </si>
  <si>
    <t>Residential_north_window_construction</t>
    <phoneticPr fontId="1" type="noConversion"/>
  </si>
  <si>
    <t>MATERIAL:NOMASS</t>
    <phoneticPr fontId="1" type="noConversion"/>
  </si>
  <si>
    <t>Thermal_Absorptance</t>
  </si>
  <si>
    <t>Solar_Absorptance</t>
  </si>
  <si>
    <t>Visible_Absorptance</t>
  </si>
  <si>
    <t>Solar_Heat_Gain_Coefficient</t>
  </si>
  <si>
    <t>Visible_Transmittance</t>
  </si>
  <si>
    <t>Layer_2</t>
  </si>
  <si>
    <t>Layer_3</t>
  </si>
  <si>
    <t>UFactor</t>
    <phoneticPr fontId="1" type="noConversion"/>
  </si>
  <si>
    <t>Outside_Layer</t>
    <phoneticPr fontId="1" type="noConversion"/>
  </si>
  <si>
    <t>Schedule_office_activity_holiday_hourly</t>
    <phoneticPr fontId="1" type="noConversion"/>
  </si>
  <si>
    <t>Schedule_office_activity_weekday_hourly</t>
    <phoneticPr fontId="1" type="noConversion"/>
  </si>
  <si>
    <t>Schedule_commerical_people_holiday_hourly</t>
    <phoneticPr fontId="1" type="noConversion"/>
  </si>
  <si>
    <t>Schedule_commerical_activity_weekday_hourly</t>
    <phoneticPr fontId="1" type="noConversion"/>
  </si>
  <si>
    <t>Schedule_commerical_activity_holiday_hourly</t>
    <phoneticPr fontId="1" type="noConversion"/>
  </si>
  <si>
    <t>Schedule_residential_people_holiday_hourly</t>
    <phoneticPr fontId="1" type="noConversion"/>
  </si>
  <si>
    <t>Schedule_residential_activity_weekday_hourly</t>
    <phoneticPr fontId="1" type="noConversion"/>
  </si>
  <si>
    <t>Schedule_residential_activity_holiday_hourly</t>
    <phoneticPr fontId="1" type="noConversion"/>
  </si>
  <si>
    <t>Schedule_school_people_holiday_hourly</t>
    <phoneticPr fontId="1" type="noConversion"/>
  </si>
  <si>
    <t>Schedule_school_activity_weekday_hourly</t>
    <phoneticPr fontId="1" type="noConversion"/>
  </si>
  <si>
    <t>Schedule_school_activity_holiday_hourly</t>
    <phoneticPr fontId="1" type="noConversion"/>
  </si>
  <si>
    <t>Schedule_hospital_people_holiday_hourly</t>
    <phoneticPr fontId="1" type="noConversion"/>
  </si>
  <si>
    <t>Schedule_hospital_activity_weekday_hourly</t>
    <phoneticPr fontId="1" type="noConversion"/>
  </si>
  <si>
    <t>Schedule_hospital_activity_holiday_hourly</t>
    <phoneticPr fontId="1" type="noConversion"/>
  </si>
  <si>
    <t>Schedule_Industrial_people_holiday_hourly</t>
    <phoneticPr fontId="1" type="noConversion"/>
  </si>
  <si>
    <t>Schedule_Industrial_activity_weekday_hourly</t>
    <phoneticPr fontId="1" type="noConversion"/>
  </si>
  <si>
    <t>Schedule_Industrial_activity_holiday_hourly</t>
    <phoneticPr fontId="1" type="noConversion"/>
  </si>
  <si>
    <t>Schedule_office_activity_weekly</t>
    <phoneticPr fontId="1" type="noConversion"/>
  </si>
  <si>
    <t>Schedule_commerical_people_weekly</t>
    <phoneticPr fontId="1" type="noConversion"/>
  </si>
  <si>
    <t>Schedule_commerical_activity_weekly</t>
    <phoneticPr fontId="1" type="noConversion"/>
  </si>
  <si>
    <t>Schedule_residential_people_weekly</t>
    <phoneticPr fontId="1" type="noConversion"/>
  </si>
  <si>
    <t>Schedule_residential_activity_weekly</t>
    <phoneticPr fontId="1" type="noConversion"/>
  </si>
  <si>
    <t>Schedule_school_people_weekly</t>
    <phoneticPr fontId="1" type="noConversion"/>
  </si>
  <si>
    <t>Schedule_school_activity_weekly</t>
    <phoneticPr fontId="1" type="noConversion"/>
  </si>
  <si>
    <t>Schedule_hospital_people_weekly</t>
    <phoneticPr fontId="1" type="noConversion"/>
  </si>
  <si>
    <t>Schedule_hospital_activity_weekly</t>
    <phoneticPr fontId="1" type="noConversion"/>
  </si>
  <si>
    <t>Schedule_hospital_infiltrion_onoff_weekly</t>
    <phoneticPr fontId="1" type="noConversion"/>
  </si>
  <si>
    <t>Schedule_Industrial_people_weekly</t>
    <phoneticPr fontId="1" type="noConversion"/>
  </si>
  <si>
    <t>Schedule_Industrial_activity_weekly</t>
    <phoneticPr fontId="1" type="noConversion"/>
  </si>
  <si>
    <t>SeasonalSchedule_Schedule_office_activity</t>
    <phoneticPr fontId="1" type="noConversion"/>
  </si>
  <si>
    <t>Schedule_commerical_ventilation</t>
    <phoneticPr fontId="1" type="noConversion"/>
  </si>
  <si>
    <t>Schedule_residential_infiltrion_onoff_weekly</t>
    <phoneticPr fontId="1" type="noConversion"/>
  </si>
  <si>
    <t>SeasonalSchedule_Schedule_commerical_activity</t>
    <phoneticPr fontId="1" type="noConversion"/>
  </si>
  <si>
    <t>SeasonalSchedule_Schedule_commerical_infiltrion_onoff</t>
    <phoneticPr fontId="1" type="noConversion"/>
  </si>
  <si>
    <t>SeasonalSchedule_Schedule_residential_activity</t>
    <phoneticPr fontId="1" type="noConversion"/>
  </si>
  <si>
    <t>SeasonalSchedule_Schedule_school_activity</t>
    <phoneticPr fontId="1" type="noConversion"/>
  </si>
  <si>
    <t>SeasonalSchedule_Schedule_hospital_activity</t>
    <phoneticPr fontId="1" type="noConversion"/>
  </si>
  <si>
    <t>SeasonalSchedule_Schedule_Industrial_activity</t>
    <phoneticPr fontId="1" type="noConversion"/>
  </si>
  <si>
    <t>Residential_floor_construction</t>
    <phoneticPr fontId="1" type="noConversion"/>
  </si>
  <si>
    <t>Residential_ground_construction</t>
    <phoneticPr fontId="1" type="noConversion"/>
  </si>
  <si>
    <t>Residential_ground</t>
    <phoneticPr fontId="1" type="noConversion"/>
  </si>
  <si>
    <t>Residential_interior_wall_construction</t>
    <phoneticPr fontId="1" type="noConversion"/>
  </si>
  <si>
    <t>Residential_roof_construction</t>
    <phoneticPr fontId="1" type="noConversion"/>
  </si>
  <si>
    <t>east</t>
    <phoneticPr fontId="1" type="noConversion"/>
  </si>
  <si>
    <t>south</t>
    <phoneticPr fontId="1" type="noConversion"/>
  </si>
  <si>
    <t>west</t>
    <phoneticPr fontId="1" type="noConversion"/>
  </si>
  <si>
    <t>north</t>
    <phoneticPr fontId="1" type="noConversion"/>
  </si>
  <si>
    <t>Office</t>
  </si>
  <si>
    <t>Hospital</t>
  </si>
  <si>
    <t>Industrial</t>
  </si>
  <si>
    <t>Residential</t>
  </si>
  <si>
    <t>Functions</t>
    <phoneticPr fontId="1" type="noConversion"/>
  </si>
  <si>
    <t>Commercial</t>
    <phoneticPr fontId="1" type="noConversion"/>
  </si>
  <si>
    <t>PEOPLE</t>
    <phoneticPr fontId="1" type="noConversion"/>
  </si>
  <si>
    <t>People/Area</t>
  </si>
  <si>
    <t>autocalculate</t>
  </si>
  <si>
    <t>No</t>
  </si>
  <si>
    <t>ZoneAveraged</t>
    <phoneticPr fontId="1" type="noConversion"/>
  </si>
  <si>
    <t xml:space="preserve"> ClothingInsulationSchedule</t>
  </si>
  <si>
    <t>ZoneAveraged</t>
  </si>
  <si>
    <t>LIGHTS</t>
  </si>
  <si>
    <t>Zone_or_ZoneList_or_Space_or_SpaceList_Name</t>
  </si>
  <si>
    <t>Schedule_Name</t>
  </si>
  <si>
    <t>Design_Level_Calculation_Method</t>
  </si>
  <si>
    <t>Lighting_Level</t>
  </si>
  <si>
    <t>Watts_per_Person</t>
  </si>
  <si>
    <t>Return_Air_Fraction</t>
  </si>
  <si>
    <t>Fraction_Radiant</t>
  </si>
  <si>
    <t>Fraction_Visible</t>
  </si>
  <si>
    <t>Fraction_Replaceable</t>
  </si>
  <si>
    <t>EndUse_Subcategory</t>
  </si>
  <si>
    <t>Return_Air_Fraction_Calculated_from_Plenum_Temperature</t>
  </si>
  <si>
    <t>Return_Air_Fraction_Function_of_Plenum_Temperature_Coefficient_1</t>
  </si>
  <si>
    <t>Return_Air_Fraction_Function_of_Plenum_Temperature_Coefficient_2</t>
  </si>
  <si>
    <t>Light_for_office</t>
    <phoneticPr fontId="1" type="noConversion"/>
  </si>
  <si>
    <t>Watts/Area</t>
    <phoneticPr fontId="1" type="noConversion"/>
  </si>
  <si>
    <t>General</t>
    <phoneticPr fontId="1" type="noConversion"/>
  </si>
  <si>
    <t>No</t>
    <phoneticPr fontId="1" type="noConversion"/>
  </si>
  <si>
    <t>Light_for_commercial</t>
    <phoneticPr fontId="1" type="noConversion"/>
  </si>
  <si>
    <t>Light_for_residential</t>
    <phoneticPr fontId="1" type="noConversion"/>
  </si>
  <si>
    <t>Light_for_school</t>
    <phoneticPr fontId="1" type="noConversion"/>
  </si>
  <si>
    <t>Light_for_hospital</t>
    <phoneticPr fontId="1" type="noConversion"/>
  </si>
  <si>
    <t>Light_for_industrial</t>
    <phoneticPr fontId="1" type="noConversion"/>
  </si>
  <si>
    <t>ELECTRICEQUIPMENT</t>
    <phoneticPr fontId="1" type="noConversion"/>
  </si>
  <si>
    <t>Equipment_for_office</t>
  </si>
  <si>
    <t>Watts/Area</t>
  </si>
  <si>
    <t>Electric Equipment</t>
  </si>
  <si>
    <t>Equipment_for_commercial</t>
  </si>
  <si>
    <t>Equipment_for_residential</t>
  </si>
  <si>
    <t>Equipment_for_school</t>
  </si>
  <si>
    <t>Equipment_for_hospital</t>
  </si>
  <si>
    <t>Setpoint_for_office</t>
  </si>
  <si>
    <t>Setpoint_for_commercial</t>
  </si>
  <si>
    <t>Setpoint_for_residential</t>
  </si>
  <si>
    <t>Setpoint_for_school</t>
  </si>
  <si>
    <t>Setpoint_for_hospital</t>
  </si>
  <si>
    <t>Setpoint_for_industrial</t>
  </si>
  <si>
    <t>Zonecontrol_for_office</t>
    <phoneticPr fontId="1" type="noConversion"/>
  </si>
  <si>
    <t>ThermostatSetpoint:DualSetpoint</t>
  </si>
  <si>
    <t>Zonecontrol_for_commercial</t>
    <phoneticPr fontId="1" type="noConversion"/>
  </si>
  <si>
    <t>Zonecontrol_for_residential</t>
    <phoneticPr fontId="1" type="noConversion"/>
  </si>
  <si>
    <t>Zonecontrol_for_school</t>
    <phoneticPr fontId="1" type="noConversion"/>
  </si>
  <si>
    <t>Zonecontrol_for_hospital</t>
    <phoneticPr fontId="1" type="noConversion"/>
  </si>
  <si>
    <t>Zonecontrol_for_industrial</t>
    <phoneticPr fontId="1" type="noConversion"/>
  </si>
  <si>
    <t>ZONEINFILTRATION:DESIGNFLOWRATE</t>
    <phoneticPr fontId="1" type="noConversion"/>
  </si>
  <si>
    <t>Infilteration_for_office</t>
    <phoneticPr fontId="1" type="noConversion"/>
  </si>
  <si>
    <t>Infilteration_for_commercial</t>
    <phoneticPr fontId="1" type="noConversion"/>
  </si>
  <si>
    <t>Infilteration_for_residential</t>
    <phoneticPr fontId="1" type="noConversion"/>
  </si>
  <si>
    <t>Infilteration_for_school</t>
    <phoneticPr fontId="1" type="noConversion"/>
  </si>
  <si>
    <t>Infilteration_for_hospital</t>
    <phoneticPr fontId="1" type="noConversion"/>
  </si>
  <si>
    <t>SeasonalSchedule_Schedule_hospital_infiltrion_onoff</t>
    <phoneticPr fontId="1" type="noConversion"/>
  </si>
  <si>
    <t>Infilteration_for_industrial</t>
    <phoneticPr fontId="1" type="noConversion"/>
  </si>
  <si>
    <t>ventilation_for_office</t>
    <phoneticPr fontId="1" type="noConversion"/>
  </si>
  <si>
    <t>Flow/Person</t>
  </si>
  <si>
    <t>ventilation_for_commercial</t>
    <phoneticPr fontId="1" type="noConversion"/>
  </si>
  <si>
    <t>ventilation_for_residential</t>
    <phoneticPr fontId="1" type="noConversion"/>
  </si>
  <si>
    <t>ventilation_for_school</t>
    <phoneticPr fontId="1" type="noConversion"/>
  </si>
  <si>
    <t>ventilation_for_hospital</t>
    <phoneticPr fontId="1" type="noConversion"/>
  </si>
  <si>
    <t>ventilation_for_industrial</t>
    <phoneticPr fontId="1" type="noConversion"/>
  </si>
  <si>
    <t>ZONEHVAC:IDEALLOADSAIRSYSTEM</t>
    <phoneticPr fontId="1" type="noConversion"/>
  </si>
  <si>
    <t>Availability Schedule Name</t>
  </si>
  <si>
    <t>Zone Supply Air Node Name</t>
  </si>
  <si>
    <t>Zone Exhaust Air Node Name</t>
    <phoneticPr fontId="1" type="noConversion"/>
  </si>
  <si>
    <t>System Inlet Air Node Name</t>
    <phoneticPr fontId="1" type="noConversion"/>
  </si>
  <si>
    <t>Maximum Heating Supply Air Temperature</t>
  </si>
  <si>
    <t>Minimum Cooling Supply Air Temperature</t>
  </si>
  <si>
    <t>Maximum Heating Supply Air Humidity Ratio</t>
  </si>
  <si>
    <t>Minimum Cooling Supply Air Humidity Ratio</t>
  </si>
  <si>
    <t>Maximum Heating Air Flow Rate</t>
  </si>
  <si>
    <t>Maximum Sensible Heating Capacity</t>
    <phoneticPr fontId="1" type="noConversion"/>
  </si>
  <si>
    <t>Cooling Limit</t>
  </si>
  <si>
    <t>Maximum Cooling Air Flow Rate</t>
  </si>
  <si>
    <t>Maximum Total Cooling Capacity</t>
  </si>
  <si>
    <t>Heating Availability Schedule Name</t>
  </si>
  <si>
    <t>Cooling Availability Schedule Name</t>
  </si>
  <si>
    <t>Dehumidification Control Type</t>
  </si>
  <si>
    <t>Cooling Sensible Heat Ratio</t>
  </si>
  <si>
    <t>Humidification Control Type</t>
  </si>
  <si>
    <t>Design Specification Outdoor Air Object Name</t>
  </si>
  <si>
    <t>Outdoor Air Inlet Node Name</t>
  </si>
  <si>
    <t>Demand Controlled Ventilation Type</t>
  </si>
  <si>
    <t>Outdoor Air Economizer Type</t>
  </si>
  <si>
    <t>Heat Recovery Type</t>
  </si>
  <si>
    <t>Sensible Heat Recovery Effectiveness</t>
  </si>
  <si>
    <t>Latent Heat Recovery Effectiveness</t>
  </si>
  <si>
    <t>HVAC_for_office</t>
  </si>
  <si>
    <t>NoLimit</t>
    <phoneticPr fontId="1" type="noConversion"/>
  </si>
  <si>
    <t>NoLimit</t>
  </si>
  <si>
    <t>ConstantSensibleHeatRatio</t>
  </si>
  <si>
    <t xml:space="preserve"> None</t>
  </si>
  <si>
    <t>OccupancySchedule</t>
    <phoneticPr fontId="1" type="noConversion"/>
  </si>
  <si>
    <t>DifferentialDryBulb</t>
  </si>
  <si>
    <t>Enthalpy</t>
    <phoneticPr fontId="1" type="noConversion"/>
  </si>
  <si>
    <t>HVAC_for_commercial</t>
  </si>
  <si>
    <t>OccupancySchedule</t>
  </si>
  <si>
    <t>Enthalpy</t>
  </si>
  <si>
    <t>HVAC_for_residential</t>
  </si>
  <si>
    <t>HVAC_for_school</t>
  </si>
  <si>
    <t>HVAC_for_hospital</t>
  </si>
  <si>
    <t>HVAC_for_industrial</t>
  </si>
  <si>
    <t>ZONECONTROL:THERMOSTAT</t>
    <phoneticPr fontId="1" type="noConversion"/>
  </si>
  <si>
    <t>People_for_office</t>
    <phoneticPr fontId="1" type="noConversion"/>
  </si>
  <si>
    <t>People_for_commercial</t>
    <phoneticPr fontId="1" type="noConversion"/>
  </si>
  <si>
    <t>People_for_residential</t>
    <phoneticPr fontId="1" type="noConversion"/>
  </si>
  <si>
    <t>People_for_school</t>
    <phoneticPr fontId="1" type="noConversion"/>
  </si>
  <si>
    <t>People_for_hospital</t>
    <phoneticPr fontId="1" type="noConversion"/>
  </si>
  <si>
    <t>People_for_industrial</t>
    <phoneticPr fontId="1" type="noConversion"/>
  </si>
  <si>
    <t>Number_of_People_Schedule_Name</t>
  </si>
  <si>
    <t>Number_of_People_Calculation_Method</t>
  </si>
  <si>
    <t>Number_of_People</t>
  </si>
  <si>
    <t>Floor_Area_per_Person</t>
  </si>
  <si>
    <t>Sensible_Heat_Fraction</t>
  </si>
  <si>
    <t>Activity_Level_Schedule_Name</t>
  </si>
  <si>
    <t>Carbon_Dioxide_Generation_Rate</t>
  </si>
  <si>
    <t>Enable_ASHRAE_55_Comfort_Warnings</t>
  </si>
  <si>
    <t>Mean_Radiant_Temperature_Calculation_Type</t>
  </si>
  <si>
    <t>Surface_NameAngle_Factor_List_Name</t>
  </si>
  <si>
    <t>Work_Efficiency_Schedule_Name</t>
  </si>
  <si>
    <t>Clothing_Insulation_Calculation_Method</t>
  </si>
  <si>
    <t>Clothing_Insulation_Schedule_Name</t>
  </si>
  <si>
    <t>Air_Velocity_Schedule_Name</t>
  </si>
  <si>
    <t>Thermal_Comfort_Model_1_Type</t>
  </si>
  <si>
    <t>Thermal_Comfort_Model_2_Type</t>
  </si>
  <si>
    <t>Thermal_Comfort_Model_3_Type</t>
  </si>
  <si>
    <t>Thermal_Comfort_Model_4_Type</t>
  </si>
  <si>
    <t>Thermal_Comfort_Model_5_Type</t>
  </si>
  <si>
    <t>Thermal_Comfort_Model_6_Type</t>
  </si>
  <si>
    <t>Thermal_Comfort_Model_7_Type</t>
  </si>
  <si>
    <t>Ankle_Level_Air_Velocity_Schedule_Name</t>
  </si>
  <si>
    <t>Cold_Stress_Temperature_Threshold</t>
  </si>
  <si>
    <t>Heat_Stress_Temperature_Threshold</t>
  </si>
  <si>
    <t>Design_Level</t>
  </si>
  <si>
    <t>Fraction_Latent</t>
  </si>
  <si>
    <t>Fraction_Lost</t>
  </si>
  <si>
    <t>Heating_Setpoint_Temperature_Schedule_Name</t>
  </si>
  <si>
    <t>Cooling_Setpoint_Temperature_Schedule_Name</t>
  </si>
  <si>
    <t>Zone_or_ZoneList_Name</t>
  </si>
  <si>
    <t>Control_Type_Schedule_Name</t>
  </si>
  <si>
    <t>Control_1_Object_Type</t>
  </si>
  <si>
    <t>Control_1_Name</t>
  </si>
  <si>
    <t>Control_2_Object_Type</t>
  </si>
  <si>
    <t>Control_2_Name</t>
  </si>
  <si>
    <t>Control_3_Object_Type</t>
  </si>
  <si>
    <t>Control_3_Name</t>
  </si>
  <si>
    <t>Control_4_Object_Type</t>
  </si>
  <si>
    <t>Control_4_Name</t>
  </si>
  <si>
    <t>Temperature_Difference_Between_Cutout_And_Setpoint</t>
  </si>
  <si>
    <t>Design_Flow_Rate_Calculation_Method</t>
  </si>
  <si>
    <t>Design_Flow_Rate</t>
  </si>
  <si>
    <t>Flow_Rate_per_Floor_Area</t>
  </si>
  <si>
    <t>Flow_Rate_per_Exterior_Surface_Area</t>
  </si>
  <si>
    <t>Air_Changes_per_Hour</t>
  </si>
  <si>
    <t>Constant_Term_Coefficient</t>
  </si>
  <si>
    <t>Temperature_Term_Coefficient</t>
  </si>
  <si>
    <t>Velocity_Term_Coefficient</t>
  </si>
  <si>
    <t>Velocity_Squared_Term_Coefficient</t>
  </si>
  <si>
    <t>Outdoor_Air_Method</t>
  </si>
  <si>
    <t>Outdoor_Air_Flow_per_Person</t>
  </si>
  <si>
    <t>Outdoor_Air_Flow_per_Zone_Floor_Area</t>
  </si>
  <si>
    <t>Outdoor_Air_Flow_per_Zone</t>
  </si>
  <si>
    <t>Outdoor_Air_Flow_Air_Changes_per_Hour</t>
  </si>
  <si>
    <t>Ventilation_for_office</t>
    <phoneticPr fontId="1" type="noConversion"/>
  </si>
  <si>
    <t>Ventilation_for_commercial</t>
    <phoneticPr fontId="1" type="noConversion"/>
  </si>
  <si>
    <t>Ventilation_for_residential</t>
    <phoneticPr fontId="1" type="noConversion"/>
  </si>
  <si>
    <t>Ventilation_for_school</t>
    <phoneticPr fontId="1" type="noConversion"/>
  </si>
  <si>
    <t>Ventilation_for_hospital</t>
    <phoneticPr fontId="1" type="noConversion"/>
  </si>
  <si>
    <t>Ventilation_for_industrial</t>
    <phoneticPr fontId="1" type="noConversion"/>
  </si>
  <si>
    <t>Zone_or_ZoneList_or_Space_or_SpaceList_Name</t>
    <phoneticPr fontId="1" type="noConversion"/>
  </si>
  <si>
    <t>People_per_Floor_Area</t>
    <phoneticPr fontId="1" type="noConversion"/>
  </si>
  <si>
    <t>Clothing_Insulation_Calculation_Method_Schedule_Name</t>
    <phoneticPr fontId="1" type="noConversion"/>
  </si>
  <si>
    <t>Availability_Schedule_Name</t>
  </si>
  <si>
    <t>Zone_Supply_Air_Node_Name</t>
  </si>
  <si>
    <t>Zone_Exhaust_Air_Node_Name</t>
  </si>
  <si>
    <t>System_Inlet_Air_Node_Name</t>
  </si>
  <si>
    <t>Maximum_Heating_Supply_Air_Temperature</t>
  </si>
  <si>
    <t>Minimum_Cooling_Supply_Air_Temperature</t>
  </si>
  <si>
    <t>Maximum_Heating_Supply_Air_Humidity_Ratio</t>
  </si>
  <si>
    <t>Minimum_Cooling_Supply_Air_Humidity_Ratio</t>
  </si>
  <si>
    <t>Maximum_Heating_Air_Flow_Rate</t>
  </si>
  <si>
    <t>Maximum_Sensible_Heating_Capacity</t>
  </si>
  <si>
    <t>Cooling_Limit</t>
  </si>
  <si>
    <t>Maximum_Cooling_Air_Flow_Rate</t>
  </si>
  <si>
    <t>Maximum_Total_Cooling_Capacity</t>
  </si>
  <si>
    <t>Heating_Availability_Schedule_Name</t>
  </si>
  <si>
    <t>Cooling_Availability_Schedule_Name</t>
  </si>
  <si>
    <t>Dehumidification_Control_Type</t>
  </si>
  <si>
    <t>Cooling_Sensible_Heat_Ratio</t>
  </si>
  <si>
    <t>Humidification_Control_Type</t>
  </si>
  <si>
    <t>Design_Specification_Outdoor_Air_Object_Name</t>
  </si>
  <si>
    <t>Outdoor_Air_Inlet_Node_Name</t>
  </si>
  <si>
    <t>Demand_Controlled_Ventilation_Type</t>
  </si>
  <si>
    <t>Outdoor_Air_Economizer_Type</t>
  </si>
  <si>
    <t>Heat_Recovery_Type</t>
  </si>
  <si>
    <t>Sensible_Heat_Recovery_Effectiveness</t>
  </si>
  <si>
    <t>Latent_Heat_Recovery_Effectiveness</t>
  </si>
  <si>
    <t>HVACTEMPLATE:THERMOSTAT</t>
    <phoneticPr fontId="1" type="noConversion"/>
  </si>
  <si>
    <t>Thermostat_for_office</t>
    <phoneticPr fontId="1" type="noConversion"/>
  </si>
  <si>
    <t>Thermostat_for_commercial</t>
    <phoneticPr fontId="1" type="noConversion"/>
  </si>
  <si>
    <t>Thermostat_for_residential</t>
    <phoneticPr fontId="1" type="noConversion"/>
  </si>
  <si>
    <t>Thermostat_for_school</t>
    <phoneticPr fontId="1" type="noConversion"/>
  </si>
  <si>
    <t>Thermostat_for_hospital</t>
    <phoneticPr fontId="1" type="noConversion"/>
  </si>
  <si>
    <t>Thermostat_for_industrial</t>
    <phoneticPr fontId="1" type="noConversion"/>
  </si>
  <si>
    <t>Heating_Setpoint_Schedule_Name</t>
    <phoneticPr fontId="1" type="noConversion"/>
  </si>
  <si>
    <t>Constant_Heating_Setpoint</t>
    <phoneticPr fontId="1" type="noConversion"/>
  </si>
  <si>
    <t>Cooling_Setpoint_Schedule_Name</t>
    <phoneticPr fontId="1" type="noConversion"/>
  </si>
  <si>
    <t>Constant_Cooling_Setpoint</t>
    <phoneticPr fontId="1" type="noConversion"/>
  </si>
  <si>
    <t>North_Axis</t>
  </si>
  <si>
    <t>Loads_Convergence_Tolerance_Value</t>
  </si>
  <si>
    <t>Temperature_Convergence_Tolerance_Value</t>
  </si>
  <si>
    <t>Solar_Distribution</t>
  </si>
  <si>
    <t>Maximum_Number_of_Warmup_Days</t>
  </si>
  <si>
    <t>Minimum_Number_of_Warmup_Days</t>
  </si>
  <si>
    <t>City</t>
    <phoneticPr fontId="1" type="noConversion"/>
  </si>
  <si>
    <t>FullExterior</t>
  </si>
  <si>
    <t>TIMESTEP</t>
  </si>
  <si>
    <t>SITE:LOCATION</t>
    <phoneticPr fontId="1" type="noConversion"/>
  </si>
  <si>
    <t>Latitude</t>
  </si>
  <si>
    <t>Longitude</t>
  </si>
  <si>
    <t>Elevation</t>
  </si>
  <si>
    <t>Maximum_Number_of_HVAC_Sizing_Simulation_Passes</t>
  </si>
  <si>
    <t>Do_Zone_Sizing_Calculation</t>
  </si>
  <si>
    <t>Do_System_Sizing_Calculation</t>
  </si>
  <si>
    <t>Do_Plant_Sizing_Calculation</t>
  </si>
  <si>
    <t>Run_Simulation_for_Sizing_Periods</t>
  </si>
  <si>
    <t>Run_Simulation_for_Weather_File_Run_Periods</t>
  </si>
  <si>
    <t>Do_HVAC_Sizing_Simulation_for_Sizing_Periods</t>
  </si>
  <si>
    <t>SIMULATIONCONTROL</t>
    <phoneticPr fontId="1" type="noConversion"/>
  </si>
  <si>
    <t>Yes</t>
  </si>
  <si>
    <t>Yes</t>
    <phoneticPr fontId="1" type="noConversion"/>
  </si>
  <si>
    <t>SIZINGPERIOD:DESIGNDAY</t>
    <phoneticPr fontId="1" type="noConversion"/>
  </si>
  <si>
    <t>Month</t>
  </si>
  <si>
    <t>RUNPERIOD</t>
  </si>
  <si>
    <t>Run_Period_1</t>
    <phoneticPr fontId="1" type="noConversion"/>
  </si>
  <si>
    <t>Monday</t>
    <phoneticPr fontId="1" type="noConversion"/>
  </si>
  <si>
    <t>VERSION</t>
  </si>
  <si>
    <t>Version_Identifier</t>
    <phoneticPr fontId="1" type="noConversion"/>
  </si>
  <si>
    <t>Day_of_Month</t>
  </si>
  <si>
    <t>Day_Type</t>
  </si>
  <si>
    <t>Maximum_DryBulb_Temperature</t>
  </si>
  <si>
    <t>Daily_DryBulb_Temperature_Range</t>
  </si>
  <si>
    <t>DryBulb_Temperature_Range_Modifier_Type</t>
  </si>
  <si>
    <t>DryBulb_Temperature_Range_Modifier_Day_Schedule_Name</t>
  </si>
  <si>
    <t>Humidity_Condition_Type</t>
  </si>
  <si>
    <t>Wetbulb_or_DewPoint_at_Maximum_DryBulb</t>
  </si>
  <si>
    <t>Humidity_Condition_Day_Schedule_Name</t>
  </si>
  <si>
    <t>Humidity_Ratio_at_Maximum_DryBulb</t>
  </si>
  <si>
    <t>Enthalpy_at_Maximum_DryBulb</t>
  </si>
  <si>
    <t>Daily_WetBulb_Temperature_Range</t>
  </si>
  <si>
    <t>Barometric_Pressure</t>
  </si>
  <si>
    <t>Wind_Speed</t>
  </si>
  <si>
    <t>Wind_Direction</t>
  </si>
  <si>
    <t>Rain_Indicator</t>
  </si>
  <si>
    <t>Snow_Indicator</t>
  </si>
  <si>
    <t>Daylight_Saving_Time_Indicator</t>
  </si>
  <si>
    <t>Solar_Model_Indicator</t>
  </si>
  <si>
    <t>Beam_Solar_Day_Schedule_Name</t>
  </si>
  <si>
    <t>Diffuse_Solar_Day_Schedule_Name</t>
  </si>
  <si>
    <t>ASHRAE_Clear_Sky_Optical_Depth_for_Beam_Irradiance_taub</t>
  </si>
  <si>
    <t>ASHRAE_Clear_Sky_Optical_Depth_for_Diffuse_Irradiance_taud</t>
  </si>
  <si>
    <t>Sky_Clearness</t>
  </si>
  <si>
    <t>Begin_Month</t>
  </si>
  <si>
    <t>Begin_Day_of_Month</t>
  </si>
  <si>
    <t>Begin_Year</t>
  </si>
  <si>
    <t>End_Month</t>
  </si>
  <si>
    <t>End_Day_of_Month</t>
  </si>
  <si>
    <t>End_Year</t>
  </si>
  <si>
    <t>Day_of_Week_for_Start_Day</t>
  </si>
  <si>
    <t>Use_Weather_File_Holidays_and_Special_Days</t>
  </si>
  <si>
    <t>Use_Weather_File_Daylight_Saving_Period</t>
  </si>
  <si>
    <t>Apply_Weekend_Holiday_Rule</t>
  </si>
  <si>
    <t>Use_Weather_File_Rain_Indicators</t>
  </si>
  <si>
    <t>Use_Weather_File_Snow_Indicators</t>
  </si>
  <si>
    <t>Building_1</t>
    <phoneticPr fontId="1" type="noConversion"/>
  </si>
  <si>
    <t>Time_Zone</t>
    <phoneticPr fontId="1" type="noConversion"/>
  </si>
  <si>
    <t>SummerDesignDay_ScheduleDay_Name</t>
    <phoneticPr fontId="1" type="noConversion"/>
  </si>
  <si>
    <t>WinterDesignDay_ScheduleDay_Name</t>
    <phoneticPr fontId="1" type="noConversion"/>
  </si>
  <si>
    <t>CustomDay1_ScheduleDay_Name</t>
    <phoneticPr fontId="1" type="noConversion"/>
  </si>
  <si>
    <t>CustomDay2_ScheduleDay_Name</t>
    <phoneticPr fontId="1" type="noConversion"/>
  </si>
  <si>
    <t>Building</t>
    <phoneticPr fontId="1" type="noConversion"/>
  </si>
  <si>
    <t>Schedule_residential_heating_summer_hourly</t>
    <phoneticPr fontId="1" type="noConversion"/>
  </si>
  <si>
    <t>Schedule_school_heating_summer_hourly</t>
    <phoneticPr fontId="1" type="noConversion"/>
  </si>
  <si>
    <t>Schedule_hospital_heating_summer_hourly</t>
    <phoneticPr fontId="1" type="noConversion"/>
  </si>
  <si>
    <t>Schedule_Industrial_ventilation_weekday_hourly</t>
    <phoneticPr fontId="1" type="noConversion"/>
  </si>
  <si>
    <t>Schedule_Industrial_infiltrion_onoff_hourly</t>
    <phoneticPr fontId="1" type="noConversion"/>
  </si>
  <si>
    <t>Schedule_Industrial_ventilation_holiday_hourly</t>
    <phoneticPr fontId="1" type="noConversion"/>
  </si>
  <si>
    <t>Office_interior_wall</t>
  </si>
  <si>
    <t>Office_floor</t>
  </si>
  <si>
    <t>Office_ground</t>
  </si>
  <si>
    <t>Commercial buildings</t>
    <phoneticPr fontId="1" type="noConversion"/>
  </si>
  <si>
    <t>Commercial_interior_wall</t>
  </si>
  <si>
    <t>Commercial_floor</t>
  </si>
  <si>
    <t>Commercial_ground</t>
  </si>
  <si>
    <t>School_interior_wall</t>
  </si>
  <si>
    <t>School_floor</t>
  </si>
  <si>
    <t>School_ground</t>
  </si>
  <si>
    <t>Hospital_interior_wall</t>
  </si>
  <si>
    <t>Hospital_floor</t>
  </si>
  <si>
    <t>Hospital_ground</t>
  </si>
  <si>
    <t>Industrial_exterior_wall</t>
  </si>
  <si>
    <t>Industrial_floor</t>
  </si>
  <si>
    <t>Industrial_ground</t>
  </si>
  <si>
    <t>Industrial_roof</t>
    <phoneticPr fontId="1" type="noConversion"/>
  </si>
  <si>
    <t>Hospital_roof</t>
    <phoneticPr fontId="1" type="noConversion"/>
  </si>
  <si>
    <t>School_roof</t>
    <phoneticPr fontId="1" type="noConversion"/>
  </si>
  <si>
    <t>Commercial_roof</t>
    <phoneticPr fontId="1" type="noConversion"/>
  </si>
  <si>
    <t>Office_roof</t>
    <phoneticPr fontId="1" type="noConversion"/>
  </si>
  <si>
    <t>Office_exterior_wall</t>
    <phoneticPr fontId="1" type="noConversion"/>
  </si>
  <si>
    <t>Office_east_window</t>
  </si>
  <si>
    <t>Office_south_window</t>
  </si>
  <si>
    <t>Office_west_window</t>
  </si>
  <si>
    <t>Office_north_window</t>
  </si>
  <si>
    <t>Commercial_exterior_wall</t>
    <phoneticPr fontId="1" type="noConversion"/>
  </si>
  <si>
    <t>Commercial_east_window</t>
  </si>
  <si>
    <t>Commercial_south_window</t>
  </si>
  <si>
    <t>Commercial_west_window</t>
  </si>
  <si>
    <t>Commercial_north_window</t>
  </si>
  <si>
    <t>School_exterior_wall</t>
    <phoneticPr fontId="1" type="noConversion"/>
  </si>
  <si>
    <t>School_east_window</t>
  </si>
  <si>
    <t>School_south_window</t>
  </si>
  <si>
    <t>School_west_window</t>
  </si>
  <si>
    <t>School_north_window</t>
  </si>
  <si>
    <t>Hospital_exterior_wall</t>
    <phoneticPr fontId="1" type="noConversion"/>
  </si>
  <si>
    <t>Hospital_east_window</t>
  </si>
  <si>
    <t>Hospital_south_window</t>
  </si>
  <si>
    <t>Hospital_west_window</t>
  </si>
  <si>
    <t>Hospital_north_window</t>
  </si>
  <si>
    <t>Industrial_interior_wall</t>
    <phoneticPr fontId="1" type="noConversion"/>
  </si>
  <si>
    <t>Industrial_east_window</t>
  </si>
  <si>
    <t>Industrial_south_window</t>
  </si>
  <si>
    <t>Industrial_west_window</t>
  </si>
  <si>
    <t>Industrial_north_window</t>
  </si>
  <si>
    <t>Office_exterior_wall_construction</t>
  </si>
  <si>
    <t>Office_interior_wall_construction</t>
  </si>
  <si>
    <t>Office_floor_construction</t>
  </si>
  <si>
    <t>Office_ground_construction</t>
  </si>
  <si>
    <t>Office_roof_construction</t>
    <phoneticPr fontId="1" type="noConversion"/>
  </si>
  <si>
    <t>Commercial_exterior_wall_construction</t>
  </si>
  <si>
    <t>Commercial_interior_wall_construction</t>
  </si>
  <si>
    <t>Commercial_roof_construction</t>
  </si>
  <si>
    <t>Commercial_floor_construction</t>
  </si>
  <si>
    <t>Commercial_ground_construction</t>
  </si>
  <si>
    <t>School_exterior_wall_construction</t>
  </si>
  <si>
    <t>School_interior_wall_construction</t>
  </si>
  <si>
    <t>School_floor_construction</t>
  </si>
  <si>
    <t>School_ground_construction</t>
  </si>
  <si>
    <t>School_roof_construction</t>
    <phoneticPr fontId="1" type="noConversion"/>
  </si>
  <si>
    <t>Hospital_exterior_wall_construction</t>
  </si>
  <si>
    <t>Hospital_interior_wall_construction</t>
  </si>
  <si>
    <t>Hospital_roof_construction</t>
  </si>
  <si>
    <t>Hospital_floor_construction</t>
  </si>
  <si>
    <t>Hospital_ground_construction</t>
  </si>
  <si>
    <t>Industrial_exterior_wall</t>
    <phoneticPr fontId="1" type="noConversion"/>
  </si>
  <si>
    <t>Industrial_exterior_wall_construction</t>
  </si>
  <si>
    <t>Industrial_roof_construction</t>
  </si>
  <si>
    <t>Industrial_floor_construction</t>
  </si>
  <si>
    <t>Office_east_window</t>
    <phoneticPr fontId="1" type="noConversion"/>
  </si>
  <si>
    <t>Office_east_window_construction</t>
  </si>
  <si>
    <t>Office_south_window_construction</t>
  </si>
  <si>
    <t>Office_west_window_construction</t>
  </si>
  <si>
    <t>Office_north_window_construction</t>
  </si>
  <si>
    <t>Office_north_window</t>
    <phoneticPr fontId="1" type="noConversion"/>
  </si>
  <si>
    <t>Commercial_east_window</t>
    <phoneticPr fontId="1" type="noConversion"/>
  </si>
  <si>
    <t>Commercial_east_window_construction</t>
  </si>
  <si>
    <t>Commercial_south_window_construction</t>
  </si>
  <si>
    <t>Commercial_west_window_construction</t>
  </si>
  <si>
    <t>Commercial_north_window_construction</t>
  </si>
  <si>
    <t>School_east_window</t>
    <phoneticPr fontId="1" type="noConversion"/>
  </si>
  <si>
    <t>School_east_window_construction</t>
  </si>
  <si>
    <t>School_south_window_construction</t>
  </si>
  <si>
    <t>School_west_window_construction</t>
  </si>
  <si>
    <t>School_north_window_construction</t>
  </si>
  <si>
    <t>Hospital_east_window</t>
    <phoneticPr fontId="1" type="noConversion"/>
  </si>
  <si>
    <t>Hospital_east_window_construction</t>
    <phoneticPr fontId="1" type="noConversion"/>
  </si>
  <si>
    <t>Hospital_south_window_construction</t>
    <phoneticPr fontId="1" type="noConversion"/>
  </si>
  <si>
    <t>Hospital_west_window_construction</t>
    <phoneticPr fontId="1" type="noConversion"/>
  </si>
  <si>
    <t>Hospital_north_window_construction</t>
    <phoneticPr fontId="1" type="noConversion"/>
  </si>
  <si>
    <t>Residential_ceiling</t>
  </si>
  <si>
    <t>Residential_ceiling</t>
    <phoneticPr fontId="1" type="noConversion"/>
  </si>
  <si>
    <t>Office_ceiling</t>
  </si>
  <si>
    <t>Office_ceiling</t>
    <phoneticPr fontId="1" type="noConversion"/>
  </si>
  <si>
    <t>Commercial_ceiling</t>
    <phoneticPr fontId="1" type="noConversion"/>
  </si>
  <si>
    <t>School_ceiling</t>
  </si>
  <si>
    <t>School_ceiling</t>
    <phoneticPr fontId="1" type="noConversion"/>
  </si>
  <si>
    <t>Hospital_ceiling</t>
  </si>
  <si>
    <t>Hospital_ceiling</t>
    <phoneticPr fontId="1" type="noConversion"/>
  </si>
  <si>
    <t>Industrial_ceiling</t>
  </si>
  <si>
    <t>Industrial_ceiling</t>
    <phoneticPr fontId="1" type="noConversion"/>
  </si>
  <si>
    <t>Residential_ceiling_construction</t>
  </si>
  <si>
    <t>Office_ceiling_construction</t>
  </si>
  <si>
    <t>Commercial_ceiling_construction</t>
  </si>
  <si>
    <t>School_ceiling_construction</t>
  </si>
  <si>
    <t>Hospital_ceiling_construction</t>
  </si>
  <si>
    <t>Industrial_ceiling_construction</t>
  </si>
  <si>
    <t>SHADOWCALCULATION</t>
  </si>
  <si>
    <t>WinterDesignDay</t>
  </si>
  <si>
    <t>DefaultMultipliers</t>
  </si>
  <si>
    <t>DefaultMultipliers</t>
    <phoneticPr fontId="1" type="noConversion"/>
  </si>
  <si>
    <t>Wetbulb</t>
  </si>
  <si>
    <t>ASHRAEClearSky</t>
  </si>
  <si>
    <t>SummerDesignDay</t>
  </si>
  <si>
    <t>ASHRAETau</t>
  </si>
  <si>
    <t>Public_interior_wall</t>
    <phoneticPr fontId="1" type="noConversion"/>
  </si>
  <si>
    <t>Industrial_east_window</t>
    <phoneticPr fontId="1" type="noConversion"/>
  </si>
  <si>
    <t>Industrial_east_window_construction</t>
    <phoneticPr fontId="1" type="noConversion"/>
  </si>
  <si>
    <t>Industrial_south_window_construction</t>
    <phoneticPr fontId="1" type="noConversion"/>
  </si>
  <si>
    <t>Industrial_west_window_construction</t>
    <phoneticPr fontId="1" type="noConversion"/>
  </si>
  <si>
    <t>Industrial_north_window_construction</t>
    <phoneticPr fontId="1" type="noConversion"/>
  </si>
  <si>
    <t>Industrial_interior_wall_construction</t>
    <phoneticPr fontId="1" type="noConversion"/>
  </si>
  <si>
    <t>Industrial_ground_construction</t>
    <phoneticPr fontId="1" type="noConversion"/>
  </si>
  <si>
    <t>Public_interior_wall_construction</t>
    <phoneticPr fontId="1" type="noConversion"/>
  </si>
  <si>
    <t>SIZING:ZONE</t>
  </si>
  <si>
    <t>Zone Cooling Design Supply Air Temperature Input Method</t>
  </si>
  <si>
    <t>Zone Cooling Design Supply Air Temperature</t>
  </si>
  <si>
    <t>Zone Cooling Design Supply Air Temperature Difference</t>
  </si>
  <si>
    <t>Zone Heating Design Supply Air Temperature Input Method</t>
  </si>
  <si>
    <t>Zone Heating Design Supply Air Temperature</t>
  </si>
  <si>
    <t xml:space="preserve"> Zone Heating Design Supply Air Temperature Difference</t>
  </si>
  <si>
    <t>Zone Cooling Design Supply Air Humidity Ratio</t>
  </si>
  <si>
    <t>Zone Heating Design Supply Air Humidity Ratio</t>
  </si>
  <si>
    <t>Zone Heating Sizing Factor</t>
  </si>
  <si>
    <t>Zone Cooling Sizing Factor</t>
  </si>
  <si>
    <t>Cooling Design Air Flow Method</t>
  </si>
  <si>
    <t>Cooling Design Air Flow Rate</t>
  </si>
  <si>
    <t>Cooling Minimum Air Flow per Zone Floor Area</t>
  </si>
  <si>
    <t>Cooling Minimum Air Flow</t>
  </si>
  <si>
    <t>Heating Design Air Flow Method</t>
  </si>
  <si>
    <t>Heating Design Air Flow Rate</t>
  </si>
  <si>
    <t>Heating Maximum Air Flow per Zone Floor Area</t>
  </si>
  <si>
    <t>Heating Maximum Air Flow</t>
  </si>
  <si>
    <t>Heating Maximum Air Flow Fraction</t>
  </si>
  <si>
    <t>Design Specification Zone Air Distribution Object Name</t>
  </si>
  <si>
    <t>Account for Dedicated Outdoor Air System</t>
  </si>
  <si>
    <t>Dedicated Outdoor Air System Control Strategy</t>
  </si>
  <si>
    <t>Dedicated Outdoor Air Low Setpoint Temperature for Design</t>
  </si>
  <si>
    <t>Dedicated Outdoor Air High Setpoint Temperature for Design</t>
  </si>
  <si>
    <t>Zone Load Sizing Method</t>
  </si>
  <si>
    <t>Zone Latent Cooling Design Supply Air Humidity Ratio Input Method</t>
  </si>
  <si>
    <t>Zone Dehumidification Design Supply Air Humidity Ratio</t>
  </si>
  <si>
    <t>Zone Cooling Design Supply Air Humidity Ratio Difference</t>
  </si>
  <si>
    <t>Zone Latent Heating Design Supply Air Humidity Ratio Input Method</t>
  </si>
  <si>
    <t>Zone Humidification Design Supply Air Humidity Ratio</t>
  </si>
  <si>
    <t>Zone Humidification Design Supply Air Humidity Ratio Difference</t>
  </si>
  <si>
    <t>SupplyAirTemperature</t>
  </si>
  <si>
    <t>DesignDay</t>
  </si>
  <si>
    <t>OUTPUT:VARIABLE</t>
  </si>
  <si>
    <t>Zone Electric Equipment Electricity Energy</t>
  </si>
  <si>
    <t>Zone Ideal Loads Supply Air Total Heating Energy</t>
  </si>
  <si>
    <t>Zone Lights Electricity Energy</t>
  </si>
  <si>
    <t>Zone Ideal Loads Supply Air Total Cooling Energy</t>
    <phoneticPr fontId="1" type="noConversion"/>
  </si>
  <si>
    <t>Key_Value</t>
  </si>
  <si>
    <t>Reporting_Frequency</t>
  </si>
  <si>
    <t>Variable_Name</t>
    <phoneticPr fontId="1" type="noConversion"/>
  </si>
  <si>
    <t>PolygonClipping</t>
  </si>
  <si>
    <t>Periodic</t>
  </si>
  <si>
    <t>SutherlandHodgman</t>
  </si>
  <si>
    <t>SimpleSkyDiffuseModeling</t>
  </si>
  <si>
    <t>No</t>
    <phoneticPr fontId="1" type="noConversion"/>
  </si>
  <si>
    <t>Shading_Calculation_Method</t>
  </si>
  <si>
    <t>Shading_Calculation_Update_Frequency_Method</t>
  </si>
  <si>
    <t>Shading_Calculation_Update_Frequency</t>
  </si>
  <si>
    <t>Maximum_Figures_in_Shadow_Overlap_Calculations</t>
  </si>
  <si>
    <t>Polygon_Clipping_Algorithm</t>
  </si>
  <si>
    <t>Pixel_Counting_Resolution</t>
  </si>
  <si>
    <t>Sky_Diffuse_Modeling_Algorithm</t>
  </si>
  <si>
    <t>Output_External_Shading_Calculation_Results</t>
  </si>
  <si>
    <t>GLOBALGEOMETRYRULES</t>
  </si>
  <si>
    <t>UpperLeftCorner</t>
  </si>
  <si>
    <t>Counterclockwise</t>
  </si>
  <si>
    <t>Relative</t>
  </si>
  <si>
    <t>Zone Ventilation Fan Electricity Energy</t>
    <phoneticPr fontId="1" type="noConversion"/>
  </si>
  <si>
    <t>Zone Gas Equipment NaturalGas Energy</t>
    <phoneticPr fontId="1" type="noConversion"/>
  </si>
  <si>
    <t>Zone Mean Air Temperature</t>
  </si>
  <si>
    <t>Zone Other Equipment Lost Heat Energy</t>
  </si>
  <si>
    <t>Zone Other Equipment Total Heating Energy</t>
    <phoneticPr fontId="1" type="noConversion"/>
  </si>
  <si>
    <t>OUTPUT:VARIABLEDICTIONARY</t>
  </si>
  <si>
    <t>IDF</t>
  </si>
  <si>
    <t>Unsorted</t>
  </si>
  <si>
    <t>Key_Field</t>
  </si>
  <si>
    <t>Sort_Option</t>
  </si>
  <si>
    <t>Disable_SelfShading_Within_Shading_Zone_Groups</t>
    <phoneticPr fontId="1" type="noConversion"/>
  </si>
  <si>
    <t>Disable_SelfShading_From_Shading_Zone_Groups_to_Other_Zones</t>
    <phoneticPr fontId="1" type="noConversion"/>
  </si>
  <si>
    <t>Starting_Vertex_Position</t>
  </si>
  <si>
    <t>Vertex_Entry_Direction</t>
  </si>
  <si>
    <t>Coordinate_System</t>
  </si>
  <si>
    <t>Daylighting_Reference_Point_Coordinate_System</t>
  </si>
  <si>
    <t>Rectangular_Surface_Coordinate_System</t>
  </si>
  <si>
    <t>DESIGNSPECIFICATION:OUTDOORAIR</t>
    <phoneticPr fontId="1" type="noConversion"/>
  </si>
  <si>
    <t>Thermal_Resistance</t>
    <phoneticPr fontId="1" type="noConversion"/>
  </si>
  <si>
    <t>Office_infilteration</t>
    <phoneticPr fontId="1" type="noConversion"/>
  </si>
  <si>
    <t>Commercial_infilteration</t>
    <phoneticPr fontId="1" type="noConversion"/>
  </si>
  <si>
    <t>Residential_infilteration</t>
    <phoneticPr fontId="1" type="noConversion"/>
  </si>
  <si>
    <t>School_infilteration</t>
    <phoneticPr fontId="1" type="noConversion"/>
  </si>
  <si>
    <t>Hospital_infilteration</t>
    <phoneticPr fontId="1" type="noConversion"/>
  </si>
  <si>
    <t>Industrial_infilteration</t>
    <phoneticPr fontId="1" type="noConversion"/>
  </si>
  <si>
    <t>AirChanges/Hour</t>
  </si>
  <si>
    <t>Monthly</t>
  </si>
  <si>
    <t>Transport</t>
    <phoneticPr fontId="1" type="noConversion"/>
  </si>
  <si>
    <t>Administration</t>
    <phoneticPr fontId="1" type="noConversion"/>
  </si>
  <si>
    <t>Terrain</t>
    <phoneticPr fontId="1" type="noConversion"/>
  </si>
  <si>
    <t>Number_of_Timesteps_per_Hour</t>
    <phoneticPr fontId="1" type="noConversion"/>
  </si>
  <si>
    <t>WUHAN/WUHAN_CHN Design_Conditions</t>
    <phoneticPr fontId="1" type="noConversion"/>
  </si>
  <si>
    <t>People_for_transport</t>
    <phoneticPr fontId="1" type="noConversion"/>
  </si>
  <si>
    <t>People_for_administration</t>
    <phoneticPr fontId="1" type="noConversion"/>
  </si>
  <si>
    <t>SeasonalSchedule_Schedule_administration_people</t>
  </si>
  <si>
    <t>SeasonalSchedule_Schedule_administration_people</t>
    <phoneticPr fontId="1" type="noConversion"/>
  </si>
  <si>
    <t>SeasonalSchedule_Schedule_transport_people</t>
  </si>
  <si>
    <t>SeasonalSchedule_Schedule_transport_people</t>
    <phoneticPr fontId="1" type="noConversion"/>
  </si>
  <si>
    <t>SeasonalSchedule_Schedule_transport_activity</t>
  </si>
  <si>
    <t>SeasonalSchedule_Schedule_transport_activity</t>
    <phoneticPr fontId="1" type="noConversion"/>
  </si>
  <si>
    <t>SeasonalSchedule_Schedule_administration_activity</t>
  </si>
  <si>
    <t>SeasonalSchedule_Schedule_administration_activity</t>
    <phoneticPr fontId="1" type="noConversion"/>
  </si>
  <si>
    <t>Light_for_transport</t>
    <phoneticPr fontId="1" type="noConversion"/>
  </si>
  <si>
    <t>Light_for_administration</t>
    <phoneticPr fontId="1" type="noConversion"/>
  </si>
  <si>
    <t>SeasonalSchedule_transport_lighting</t>
  </si>
  <si>
    <t>SeasonalSchedule_transport_lighting</t>
    <phoneticPr fontId="1" type="noConversion"/>
  </si>
  <si>
    <t>SeasonalSchedule_administration_lighting</t>
  </si>
  <si>
    <t>SeasonalSchedule_administration_lighting</t>
    <phoneticPr fontId="1" type="noConversion"/>
  </si>
  <si>
    <t>Watts_per_Zone_Floor_Area</t>
    <phoneticPr fontId="1" type="noConversion"/>
  </si>
  <si>
    <t>Equipment_for_industrial</t>
    <phoneticPr fontId="1" type="noConversion"/>
  </si>
  <si>
    <t>Equipment_for_transport</t>
    <phoneticPr fontId="1" type="noConversion"/>
  </si>
  <si>
    <t>SeasonalSchedule_Schedule_transport_equipment</t>
  </si>
  <si>
    <t>SeasonalSchedule_Schedule_transport_equipment</t>
    <phoneticPr fontId="1" type="noConversion"/>
  </si>
  <si>
    <t>Equipment_for_administration</t>
    <phoneticPr fontId="1" type="noConversion"/>
  </si>
  <si>
    <t>SeasonalSchedule_Schedule_administration_equipment</t>
  </si>
  <si>
    <t>SeasonalSchedule_Schedule_administration_equipment</t>
    <phoneticPr fontId="1" type="noConversion"/>
  </si>
  <si>
    <t>Setpoint_for_industrial</t>
    <phoneticPr fontId="1" type="noConversion"/>
  </si>
  <si>
    <t>Setpoint_for_transport</t>
    <phoneticPr fontId="1" type="noConversion"/>
  </si>
  <si>
    <t>Setpoint_for_administration</t>
    <phoneticPr fontId="1" type="noConversion"/>
  </si>
  <si>
    <t>SeasonalSchedule_transport_heating</t>
  </si>
  <si>
    <t>SeasonalSchedule_transport_heating</t>
    <phoneticPr fontId="1" type="noConversion"/>
  </si>
  <si>
    <t>SeasonalSchedule_transport_cooling</t>
  </si>
  <si>
    <t>SeasonalSchedule_transport_cooling</t>
    <phoneticPr fontId="1" type="noConversion"/>
  </si>
  <si>
    <t>SeasonalSchedule_administration_heating</t>
  </si>
  <si>
    <t>SeasonalSchedule_administration_heating</t>
    <phoneticPr fontId="1" type="noConversion"/>
  </si>
  <si>
    <t>SeasonalSchedule_administration_cooling</t>
  </si>
  <si>
    <t>SeasonalSchedule_administration_cooling</t>
    <phoneticPr fontId="1" type="noConversion"/>
  </si>
  <si>
    <t>Zonecontrol_for_transport</t>
    <phoneticPr fontId="1" type="noConversion"/>
  </si>
  <si>
    <t>Zonecontrol_for_administration</t>
    <phoneticPr fontId="1" type="noConversion"/>
  </si>
  <si>
    <t>Thermostat_for_transport</t>
    <phoneticPr fontId="1" type="noConversion"/>
  </si>
  <si>
    <t>Thermostat_for_administration</t>
    <phoneticPr fontId="1" type="noConversion"/>
  </si>
  <si>
    <t>Infilteration_for_transport</t>
    <phoneticPr fontId="1" type="noConversion"/>
  </si>
  <si>
    <t>Infilteration_for_administration</t>
    <phoneticPr fontId="1" type="noConversion"/>
  </si>
  <si>
    <t>Transport_infilteration</t>
    <phoneticPr fontId="1" type="noConversion"/>
  </si>
  <si>
    <t>Administration_infilteration</t>
    <phoneticPr fontId="1" type="noConversion"/>
  </si>
  <si>
    <t>SeasonalSchedule_Schedule_transport_infiltrion_onoff</t>
  </si>
  <si>
    <t>SeasonalSchedule_Schedule_transport_infiltrion_onoff</t>
    <phoneticPr fontId="1" type="noConversion"/>
  </si>
  <si>
    <t>SeasonalSchedule_Schedule_administration_infiltrion_onoff</t>
  </si>
  <si>
    <t>SeasonalSchedule_Schedule_administration_infiltrion_onoff</t>
    <phoneticPr fontId="1" type="noConversion"/>
  </si>
  <si>
    <t>Ventilation_for_transport</t>
    <phoneticPr fontId="1" type="noConversion"/>
  </si>
  <si>
    <t>Ventilation_for_administration</t>
    <phoneticPr fontId="1" type="noConversion"/>
  </si>
  <si>
    <t>HVAC_for_industrial</t>
    <phoneticPr fontId="1" type="noConversion"/>
  </si>
  <si>
    <t>HVAC_for_transport</t>
    <phoneticPr fontId="1" type="noConversion"/>
  </si>
  <si>
    <t>HVAC_for_administration</t>
    <phoneticPr fontId="1" type="noConversion"/>
  </si>
  <si>
    <t>ventilation_for_transport</t>
    <phoneticPr fontId="1" type="noConversion"/>
  </si>
  <si>
    <t>ventilation_for_administration</t>
    <phoneticPr fontId="1" type="noConversion"/>
  </si>
  <si>
    <t>Schedule_transport_ventilation_holiday_hourly</t>
  </si>
  <si>
    <t>Schedule_transport_ventilation_weekday_hourly</t>
  </si>
  <si>
    <t>Schedule_transport_infiltrion_onoff_hourly</t>
  </si>
  <si>
    <t>Schedule_transport_activity_holiday_hourly</t>
  </si>
  <si>
    <t>Schedule_transport_activity_weekday_hourly</t>
  </si>
  <si>
    <t>Schedule_transport_people_holiday_hourly</t>
  </si>
  <si>
    <t>Schedule_transport_people_weekday_hourly</t>
  </si>
  <si>
    <t>Schedule_transport_equipment_holiday_hourly</t>
  </si>
  <si>
    <t>Schedule_transport_equipment_weekday_hourly</t>
  </si>
  <si>
    <t>Schedule_transport_lighting_holiday_hourly</t>
  </si>
  <si>
    <t>Schedule_transport_lighting_weekday_hourly</t>
  </si>
  <si>
    <t>Schedule_transport_cooling_summer_holiday_hourly</t>
  </si>
  <si>
    <t>Schedule_transport_cooling_summer_weekday_hourly</t>
  </si>
  <si>
    <t>Schedule_transport_cooling_winter_hourly</t>
  </si>
  <si>
    <t>Schedule_transport_heating_winnter_holiday_hourly</t>
  </si>
  <si>
    <t>Schedule_transport_heating_winnter_weekday_hourly</t>
  </si>
  <si>
    <t>Schedule_transport_heating_summer_hourly</t>
  </si>
  <si>
    <t>Schedule_administration_ventilation_holiday_hourly</t>
  </si>
  <si>
    <t>Schedule_administration_ventilation_weekday_hourly</t>
  </si>
  <si>
    <t>Schedule_administration_infiltrion_onoff_hourly</t>
  </si>
  <si>
    <t>Schedule_administration_activity_holiday_hourly</t>
  </si>
  <si>
    <t>Schedule_administration_activity_weekday_hourly</t>
  </si>
  <si>
    <t>Schedule_administration_people_holiday_hourly</t>
  </si>
  <si>
    <t>Schedule_administration_people_weekday_hourly</t>
  </si>
  <si>
    <t>Schedule_administration_equipment_holiday_hourly</t>
  </si>
  <si>
    <t>Schedule_administration_equipment_weekday_hourly</t>
  </si>
  <si>
    <t>Schedule_administration_lighting_holiday_hourly</t>
  </si>
  <si>
    <t>Schedule_administration_lighting_weekday_hourly</t>
  </si>
  <si>
    <t>Schedule_administration_cooling_summer_holiday_hourly</t>
  </si>
  <si>
    <t>Schedule_administration_cooling_summer_weekday_hourly</t>
  </si>
  <si>
    <t>Schedule_administration_cooling_winter_hourly</t>
  </si>
  <si>
    <t>Schedule_administration_heating_winnter_holiday_hourly</t>
  </si>
  <si>
    <t>Schedule_administration_heating_winnter_weekday_hourly</t>
  </si>
  <si>
    <t>Schedule_administration_heating_summer_hourly</t>
  </si>
  <si>
    <t>Schedule_transport_ventilation_weekly</t>
  </si>
  <si>
    <t>Schedule_transport_infiltrion_onoff_weekly</t>
  </si>
  <si>
    <t>Schedule_transport_activity_weekly</t>
  </si>
  <si>
    <t>Schedule_transport_people_weekly</t>
  </si>
  <si>
    <t>Schedule_transport_equipment_weekly</t>
  </si>
  <si>
    <t>Schedule_transport_lighting_weekly</t>
  </si>
  <si>
    <t>Schedule_transport_cooling_summer_weekly</t>
  </si>
  <si>
    <t>Schedule_transport_cooling_winnter_weekly</t>
  </si>
  <si>
    <t>Schedule_transport_heating_winnter_weekly</t>
  </si>
  <si>
    <t>Schedule_transport_heating_summer_weekly</t>
  </si>
  <si>
    <t>Schedule_administration_ventilation_weekly</t>
  </si>
  <si>
    <t>Schedule_administration_infiltrion_onoff_weekly</t>
  </si>
  <si>
    <t>Schedule_administration_activity_weekly</t>
  </si>
  <si>
    <t>Schedule_administration_people_weekly</t>
  </si>
  <si>
    <t>Schedule_administration_equipment_weekly</t>
  </si>
  <si>
    <t>Schedule_administration_lighting_weekly</t>
  </si>
  <si>
    <t>Schedule_administration_cooling_summer_weekly</t>
  </si>
  <si>
    <t>Schedule_administration_cooling_winnter_weekly</t>
  </si>
  <si>
    <t>Schedule_administration_heating_winnter_weekly</t>
  </si>
  <si>
    <t>Schedule_administration_heating_summer_weekly</t>
  </si>
  <si>
    <t>Schedule_transport_ventilation</t>
  </si>
  <si>
    <t>Schedule_administration_ventilation</t>
  </si>
  <si>
    <t>WUHAN/WUHAN Ann Htg 99.6% Condns DB</t>
    <phoneticPr fontId="1" type="noConversion"/>
  </si>
  <si>
    <t>WUHAN/WUHAN Ann Clg .4% Condns DB=&gt;MWB</t>
    <phoneticPr fontId="1" type="noConversion"/>
  </si>
  <si>
    <t>Administration_east_window</t>
  </si>
  <si>
    <t>Administration_south_window</t>
  </si>
  <si>
    <t>Administration_west_window</t>
  </si>
  <si>
    <t>Administration_north_window</t>
  </si>
  <si>
    <t>Administration_ground</t>
  </si>
  <si>
    <t>Administration_floor</t>
  </si>
  <si>
    <t>Administration_ceiling</t>
  </si>
  <si>
    <t>Administration_roof</t>
  </si>
  <si>
    <t>Administration_interior_wall</t>
  </si>
  <si>
    <t>Administration_exterior_wall</t>
  </si>
  <si>
    <t>Transport_ground</t>
  </si>
  <si>
    <t>Transport_floor</t>
  </si>
  <si>
    <t>Transport_ceiling</t>
  </si>
  <si>
    <t>Transport_roof</t>
  </si>
  <si>
    <t>Transport_interior_wall</t>
  </si>
  <si>
    <t>Transport_exterior_wall</t>
  </si>
  <si>
    <t>Administration_exterior_wall_construction</t>
  </si>
  <si>
    <t>Administration_ceiling_construction</t>
  </si>
  <si>
    <t>Administration_floor_construction</t>
  </si>
  <si>
    <t>Administration_ground_construction</t>
  </si>
  <si>
    <t>Transport_ground_construction</t>
  </si>
  <si>
    <t>Transport_floor_construction</t>
  </si>
  <si>
    <t>Transport_ceiling_construction</t>
  </si>
  <si>
    <t>Transport_roof_construction</t>
  </si>
  <si>
    <t>Transport_interior_wall_construction</t>
  </si>
  <si>
    <t>Transport_exterior_wall_construction</t>
  </si>
  <si>
    <t>Transport_ground</t>
    <phoneticPr fontId="1" type="noConversion"/>
  </si>
  <si>
    <t>Transport_north_window</t>
  </si>
  <si>
    <t>Transport_north_window_construction</t>
  </si>
  <si>
    <t>Transport_west_window</t>
  </si>
  <si>
    <t>Transport_west_window_construction</t>
  </si>
  <si>
    <t>Transport_south_window</t>
  </si>
  <si>
    <t>Transport_south_window_construction</t>
  </si>
  <si>
    <t>Transport_east_window</t>
  </si>
  <si>
    <t>Transport_east_window_construction</t>
  </si>
  <si>
    <t>Administration_roof_construction</t>
    <phoneticPr fontId="1" type="noConversion"/>
  </si>
  <si>
    <t>Administration_interior_wall_construction</t>
    <phoneticPr fontId="1" type="noConversion"/>
  </si>
  <si>
    <t>Administration_north_window_construction</t>
  </si>
  <si>
    <t>Administration_west_window_construction</t>
  </si>
  <si>
    <t>Administration_south_window_construction</t>
  </si>
  <si>
    <t>Administration_east_window_construction</t>
  </si>
  <si>
    <t>School_north_window</t>
    <phoneticPr fontId="1" type="noConversion"/>
  </si>
  <si>
    <t>Administration_north_window</t>
    <phoneticPr fontId="1" type="noConversion"/>
  </si>
  <si>
    <t>Transport_east_window</t>
    <phoneticPr fontId="1" type="noConversion"/>
  </si>
  <si>
    <t>Transport_south_window</t>
    <phoneticPr fontId="1" type="noConversion"/>
  </si>
  <si>
    <t>Transport_west_window</t>
    <phoneticPr fontId="1" type="noConversion"/>
  </si>
  <si>
    <t>Transport_north_window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</si>
</sst>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_ 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9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justify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/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5758-CFA1-4C0C-9BDD-75081ADEE34D}">
  <dimension ref="A1:A9"/>
  <sheetViews>
    <sheetView zoomScale="190" zoomScaleNormal="190" workbookViewId="0">
      <selection activeCell="A2" sqref="A2:A9"/>
    </sheetView>
  </sheetViews>
  <sheetFormatPr defaultRowHeight="14" x14ac:dyDescent="0.3"/>
  <cols>
    <col min="1" max="1" width="29.25" customWidth="1"/>
  </cols>
  <sheetData>
    <row r="1" spans="1:1" x14ac:dyDescent="0.3">
      <c r="A1" t="s">
        <v>410</v>
      </c>
    </row>
    <row r="2" spans="1:1" x14ac:dyDescent="0.3">
      <c r="A2" t="s">
        <v>409</v>
      </c>
    </row>
    <row r="3" spans="1:1" x14ac:dyDescent="0.3">
      <c r="A3" t="s">
        <v>406</v>
      </c>
    </row>
    <row r="4" spans="1:1" x14ac:dyDescent="0.3">
      <c r="A4" t="s">
        <v>411</v>
      </c>
    </row>
    <row r="5" spans="1:1" x14ac:dyDescent="0.3">
      <c r="A5" t="s">
        <v>100</v>
      </c>
    </row>
    <row r="6" spans="1:1" x14ac:dyDescent="0.3">
      <c r="A6" t="s">
        <v>407</v>
      </c>
    </row>
    <row r="7" spans="1:1" x14ac:dyDescent="0.3">
      <c r="A7" t="s">
        <v>408</v>
      </c>
    </row>
    <row r="8" spans="1:1" x14ac:dyDescent="0.3">
      <c r="A8" t="s">
        <v>915</v>
      </c>
    </row>
    <row r="9" spans="1:1" x14ac:dyDescent="0.3">
      <c r="A9" t="s">
        <v>916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29B9-76AD-45AB-8D67-0DE68CB0AC91}">
  <dimension ref="A1:E9"/>
  <sheetViews>
    <sheetView zoomScale="220" zoomScaleNormal="220" workbookViewId="0">
      <selection activeCell="C12" sqref="C12"/>
    </sheetView>
  </sheetViews>
  <sheetFormatPr defaultRowHeight="14" x14ac:dyDescent="0.3"/>
  <cols>
    <col min="1" max="1" width="13.58203125" customWidth="1"/>
  </cols>
  <sheetData>
    <row r="1" spans="1:5" x14ac:dyDescent="0.3">
      <c r="A1" t="s">
        <v>410</v>
      </c>
      <c r="B1" t="s">
        <v>402</v>
      </c>
      <c r="C1" t="s">
        <v>403</v>
      </c>
      <c r="D1" t="s">
        <v>404</v>
      </c>
      <c r="E1" t="s">
        <v>405</v>
      </c>
    </row>
    <row r="2" spans="1:5" x14ac:dyDescent="0.3">
      <c r="A2" t="s">
        <v>300</v>
      </c>
      <c r="B2" s="11">
        <v>0.25</v>
      </c>
      <c r="C2" s="11">
        <v>0.7</v>
      </c>
      <c r="D2" s="11">
        <v>0.25</v>
      </c>
      <c r="E2" s="11">
        <v>0.6</v>
      </c>
    </row>
    <row r="3" spans="1:5" x14ac:dyDescent="0.3">
      <c r="A3" s="11" t="s">
        <v>10</v>
      </c>
      <c r="B3" s="11">
        <v>0.6</v>
      </c>
      <c r="C3" s="11">
        <v>0.6</v>
      </c>
      <c r="D3" s="11">
        <v>0.6</v>
      </c>
      <c r="E3" s="11">
        <v>0.6</v>
      </c>
    </row>
    <row r="4" spans="1:5" x14ac:dyDescent="0.3">
      <c r="A4" t="s">
        <v>411</v>
      </c>
      <c r="B4" s="11">
        <v>0.4</v>
      </c>
      <c r="C4" s="11">
        <v>0.7</v>
      </c>
      <c r="D4" s="11">
        <v>0.4</v>
      </c>
      <c r="E4" s="11">
        <v>0.6</v>
      </c>
    </row>
    <row r="5" spans="1:5" x14ac:dyDescent="0.3">
      <c r="A5" t="s">
        <v>100</v>
      </c>
      <c r="B5" s="11">
        <v>0.25</v>
      </c>
      <c r="C5" s="11">
        <v>0.7</v>
      </c>
      <c r="D5" s="11">
        <v>0.25</v>
      </c>
      <c r="E5" s="11">
        <v>0.7</v>
      </c>
    </row>
    <row r="6" spans="1:5" x14ac:dyDescent="0.3">
      <c r="A6" t="s">
        <v>114</v>
      </c>
      <c r="B6" s="11">
        <v>0.25</v>
      </c>
      <c r="C6" s="11">
        <v>0.7</v>
      </c>
      <c r="D6" s="11">
        <v>0.25</v>
      </c>
      <c r="E6" s="11">
        <v>0.6</v>
      </c>
    </row>
    <row r="7" spans="1:5" x14ac:dyDescent="0.3">
      <c r="A7" t="s">
        <v>302</v>
      </c>
      <c r="B7" s="11">
        <v>0.1</v>
      </c>
      <c r="C7" s="11">
        <v>0.4</v>
      </c>
      <c r="D7" s="11">
        <v>0.1</v>
      </c>
      <c r="E7" s="11">
        <v>0.3</v>
      </c>
    </row>
    <row r="8" spans="1:5" x14ac:dyDescent="0.3">
      <c r="A8" t="s">
        <v>915</v>
      </c>
      <c r="B8" s="11">
        <v>0.6</v>
      </c>
      <c r="C8" s="11">
        <v>0.6</v>
      </c>
      <c r="D8" s="11">
        <v>0.6</v>
      </c>
      <c r="E8" s="11">
        <v>0.6</v>
      </c>
    </row>
    <row r="9" spans="1:5" x14ac:dyDescent="0.3">
      <c r="A9" t="s">
        <v>916</v>
      </c>
      <c r="B9" s="11">
        <v>0.4</v>
      </c>
      <c r="C9" s="11">
        <v>0.6</v>
      </c>
      <c r="D9" s="11">
        <v>0.4</v>
      </c>
      <c r="E9" s="11">
        <v>0.6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74F1-1035-4002-AC7C-9B344FE38360}">
  <dimension ref="A1:I2"/>
  <sheetViews>
    <sheetView workbookViewId="0">
      <selection activeCell="C19" sqref="C19"/>
    </sheetView>
  </sheetViews>
  <sheetFormatPr defaultColWidth="8.9140625" defaultRowHeight="14" x14ac:dyDescent="0.3"/>
  <cols>
    <col min="1" max="1" width="3.6640625" style="1" bestFit="1" customWidth="1"/>
    <col min="2" max="2" width="22.58203125" style="1" bestFit="1" customWidth="1"/>
    <col min="3" max="3" width="26.58203125" style="1" bestFit="1" customWidth="1"/>
    <col min="4" max="4" width="28.4140625" style="1" bestFit="1" customWidth="1"/>
    <col min="5" max="5" width="26.58203125" style="1" bestFit="1" customWidth="1"/>
    <col min="6" max="6" width="32.58203125" style="1" bestFit="1" customWidth="1"/>
    <col min="7" max="7" width="43.58203125" style="1" bestFit="1" customWidth="1"/>
    <col min="8" max="8" width="44.25" style="1" bestFit="1" customWidth="1"/>
    <col min="9" max="9" width="51.58203125" style="1" bestFit="1" customWidth="1"/>
    <col min="10" max="16384" width="8.9140625" style="1"/>
  </cols>
  <sheetData>
    <row r="1" spans="1:9" x14ac:dyDescent="0.3">
      <c r="A1" s="15" t="s">
        <v>317</v>
      </c>
      <c r="B1" s="15" t="s">
        <v>645</v>
      </c>
      <c r="C1" s="1" t="s">
        <v>639</v>
      </c>
      <c r="D1" s="1" t="s">
        <v>640</v>
      </c>
      <c r="E1" s="1" t="s">
        <v>641</v>
      </c>
      <c r="F1" s="1" t="s">
        <v>642</v>
      </c>
      <c r="G1" s="1" t="s">
        <v>643</v>
      </c>
      <c r="H1" s="1" t="s">
        <v>644</v>
      </c>
      <c r="I1" s="1" t="s">
        <v>638</v>
      </c>
    </row>
    <row r="2" spans="1:9" x14ac:dyDescent="0.3">
      <c r="A2" s="15"/>
      <c r="B2" s="15"/>
      <c r="C2" s="2" t="s">
        <v>646</v>
      </c>
      <c r="D2" s="2" t="s">
        <v>646</v>
      </c>
      <c r="E2" s="2" t="s">
        <v>646</v>
      </c>
      <c r="F2" s="1" t="s">
        <v>436</v>
      </c>
      <c r="G2" s="2" t="s">
        <v>647</v>
      </c>
      <c r="H2" s="1" t="s">
        <v>436</v>
      </c>
      <c r="I2" s="1">
        <v>2</v>
      </c>
    </row>
  </sheetData>
  <mergeCells count="2">
    <mergeCell ref="B1:B2"/>
    <mergeCell ref="A1:A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0512-29C9-44B9-8045-14A27C363019}">
  <dimension ref="A1:C2"/>
  <sheetViews>
    <sheetView workbookViewId="0">
      <selection activeCell="J10" sqref="J10"/>
    </sheetView>
  </sheetViews>
  <sheetFormatPr defaultColWidth="8.9140625" defaultRowHeight="14" x14ac:dyDescent="0.3"/>
  <cols>
    <col min="1" max="2" width="8.9140625" style="1"/>
    <col min="3" max="3" width="23" style="1" customWidth="1"/>
    <col min="4" max="16384" width="8.9140625" style="1"/>
  </cols>
  <sheetData>
    <row r="1" spans="1:3" x14ac:dyDescent="0.3">
      <c r="A1" s="15" t="s">
        <v>317</v>
      </c>
      <c r="B1" s="15" t="s">
        <v>653</v>
      </c>
      <c r="C1" s="13" t="s">
        <v>654</v>
      </c>
    </row>
    <row r="2" spans="1:3" x14ac:dyDescent="0.3">
      <c r="A2" s="15"/>
      <c r="B2" s="15"/>
      <c r="C2" s="13">
        <v>23.1</v>
      </c>
    </row>
  </sheetData>
  <mergeCells count="2">
    <mergeCell ref="B1:B2"/>
    <mergeCell ref="A1:A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1C99-8C54-49BA-B176-CBD02C7B4436}">
  <dimension ref="A1:J2"/>
  <sheetViews>
    <sheetView zoomScaleNormal="100" workbookViewId="0">
      <selection activeCell="E1" sqref="E1"/>
    </sheetView>
  </sheetViews>
  <sheetFormatPr defaultColWidth="8.9140625" defaultRowHeight="14" x14ac:dyDescent="0.3"/>
  <cols>
    <col min="1" max="1" width="3.6640625" style="1" bestFit="1" customWidth="1"/>
    <col min="2" max="2" width="9.9140625" style="1" bestFit="1" customWidth="1"/>
    <col min="3" max="3" width="20.33203125" style="1" customWidth="1"/>
    <col min="4" max="4" width="10.4140625" style="1" bestFit="1" customWidth="1"/>
    <col min="5" max="5" width="10.4140625" style="1" customWidth="1"/>
    <col min="6" max="6" width="34.33203125" style="1" bestFit="1" customWidth="1"/>
    <col min="7" max="7" width="41" style="1" bestFit="1" customWidth="1"/>
    <col min="8" max="8" width="16.75" style="1" bestFit="1" customWidth="1"/>
    <col min="9" max="9" width="34.4140625" style="1" bestFit="1" customWidth="1"/>
    <col min="10" max="10" width="34.08203125" style="1" bestFit="1" customWidth="1"/>
    <col min="11" max="16384" width="8.9140625" style="1"/>
  </cols>
  <sheetData>
    <row r="1" spans="1:10" x14ac:dyDescent="0.3">
      <c r="A1" s="15" t="s">
        <v>317</v>
      </c>
      <c r="B1" s="15" t="s">
        <v>697</v>
      </c>
      <c r="C1" s="1" t="s">
        <v>42</v>
      </c>
      <c r="D1" s="13" t="s">
        <v>625</v>
      </c>
      <c r="E1" s="13" t="s">
        <v>917</v>
      </c>
      <c r="F1" s="13" t="s">
        <v>626</v>
      </c>
      <c r="G1" s="13" t="s">
        <v>627</v>
      </c>
      <c r="H1" s="13" t="s">
        <v>628</v>
      </c>
      <c r="I1" s="13" t="s">
        <v>629</v>
      </c>
      <c r="J1" s="13" t="s">
        <v>630</v>
      </c>
    </row>
    <row r="2" spans="1:10" x14ac:dyDescent="0.3">
      <c r="A2" s="15"/>
      <c r="B2" s="15"/>
      <c r="C2" s="1" t="s">
        <v>691</v>
      </c>
      <c r="D2" s="1">
        <v>0</v>
      </c>
      <c r="E2" s="1" t="s">
        <v>631</v>
      </c>
      <c r="H2" s="13" t="s">
        <v>632</v>
      </c>
    </row>
  </sheetData>
  <mergeCells count="2">
    <mergeCell ref="B1:B2"/>
    <mergeCell ref="A1:A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F759-F7C9-4AAB-8516-76F679FF9205}">
  <dimension ref="A1:C2"/>
  <sheetViews>
    <sheetView workbookViewId="0">
      <selection activeCell="C1" sqref="C1"/>
    </sheetView>
  </sheetViews>
  <sheetFormatPr defaultRowHeight="14" x14ac:dyDescent="0.3"/>
  <cols>
    <col min="3" max="3" width="53.08203125" customWidth="1"/>
  </cols>
  <sheetData>
    <row r="1" spans="1:3" x14ac:dyDescent="0.3">
      <c r="A1" s="16" t="s">
        <v>317</v>
      </c>
      <c r="B1" s="16" t="s">
        <v>633</v>
      </c>
      <c r="C1" s="2" t="s">
        <v>918</v>
      </c>
    </row>
    <row r="2" spans="1:3" x14ac:dyDescent="0.3">
      <c r="A2" s="16"/>
      <c r="B2" s="16"/>
      <c r="C2" s="1">
        <v>6</v>
      </c>
    </row>
  </sheetData>
  <mergeCells count="2">
    <mergeCell ref="B1:B2"/>
    <mergeCell ref="A1:A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8D90-2AD7-4440-ABF6-043CF1397DE6}">
  <dimension ref="A1:O2"/>
  <sheetViews>
    <sheetView topLeftCell="E1" zoomScale="130" zoomScaleNormal="130" workbookViewId="0">
      <selection activeCell="J18" sqref="J18"/>
    </sheetView>
  </sheetViews>
  <sheetFormatPr defaultRowHeight="14" x14ac:dyDescent="0.3"/>
  <cols>
    <col min="1" max="1" width="3.6640625" bestFit="1" customWidth="1"/>
    <col min="2" max="2" width="12.25" bestFit="1" customWidth="1"/>
    <col min="3" max="3" width="13.58203125" customWidth="1"/>
    <col min="4" max="4" width="12.9140625" bestFit="1" customWidth="1"/>
    <col min="5" max="5" width="19.4140625" bestFit="1" customWidth="1"/>
    <col min="6" max="6" width="10.6640625" bestFit="1" customWidth="1"/>
    <col min="7" max="7" width="11.25" bestFit="1" customWidth="1"/>
    <col min="8" max="8" width="17.75" bestFit="1" customWidth="1"/>
    <col min="9" max="9" width="9.08203125" bestFit="1" customWidth="1"/>
    <col min="10" max="10" width="24.75" bestFit="1" customWidth="1"/>
    <col min="11" max="11" width="41.08203125" bestFit="1" customWidth="1"/>
    <col min="12" max="12" width="38" bestFit="1" customWidth="1"/>
    <col min="13" max="13" width="27.4140625" bestFit="1" customWidth="1"/>
    <col min="14" max="14" width="30.6640625" bestFit="1" customWidth="1"/>
    <col min="15" max="15" width="31.75" bestFit="1" customWidth="1"/>
  </cols>
  <sheetData>
    <row r="1" spans="1:15" x14ac:dyDescent="0.3">
      <c r="A1" s="16" t="s">
        <v>317</v>
      </c>
      <c r="B1" s="16" t="s">
        <v>650</v>
      </c>
      <c r="C1" s="2" t="s">
        <v>0</v>
      </c>
      <c r="D1" s="2" t="s">
        <v>679</v>
      </c>
      <c r="E1" s="2" t="s">
        <v>680</v>
      </c>
      <c r="F1" s="2" t="s">
        <v>681</v>
      </c>
      <c r="G1" s="2" t="s">
        <v>682</v>
      </c>
      <c r="H1" s="2" t="s">
        <v>683</v>
      </c>
      <c r="I1" s="2" t="s">
        <v>684</v>
      </c>
      <c r="J1" s="2" t="s">
        <v>685</v>
      </c>
      <c r="K1" s="2" t="s">
        <v>686</v>
      </c>
      <c r="L1" s="2" t="s">
        <v>687</v>
      </c>
      <c r="M1" s="2" t="s">
        <v>688</v>
      </c>
      <c r="N1" s="2" t="s">
        <v>689</v>
      </c>
      <c r="O1" s="2" t="s">
        <v>690</v>
      </c>
    </row>
    <row r="2" spans="1:15" x14ac:dyDescent="0.3">
      <c r="A2" s="16"/>
      <c r="B2" s="16"/>
      <c r="C2" s="2" t="s">
        <v>651</v>
      </c>
      <c r="D2">
        <v>1</v>
      </c>
      <c r="E2">
        <v>1</v>
      </c>
      <c r="G2">
        <v>12</v>
      </c>
      <c r="H2">
        <v>31</v>
      </c>
      <c r="J2" t="s">
        <v>652</v>
      </c>
      <c r="K2" s="2" t="s">
        <v>436</v>
      </c>
      <c r="L2" s="2" t="s">
        <v>646</v>
      </c>
      <c r="M2" s="2" t="s">
        <v>415</v>
      </c>
      <c r="N2" s="2" t="s">
        <v>646</v>
      </c>
      <c r="O2" s="2" t="s">
        <v>646</v>
      </c>
    </row>
  </sheetData>
  <mergeCells count="2">
    <mergeCell ref="A1:A2"/>
    <mergeCell ref="B1:B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43D1-A976-44ED-B612-DB1790A6ADE9}">
  <dimension ref="A1:G2"/>
  <sheetViews>
    <sheetView zoomScale="145" zoomScaleNormal="145" workbookViewId="0">
      <selection activeCell="D15" sqref="D15"/>
    </sheetView>
  </sheetViews>
  <sheetFormatPr defaultColWidth="8.9140625" defaultRowHeight="14" x14ac:dyDescent="0.3"/>
  <cols>
    <col min="1" max="1" width="8.9140625" style="1" customWidth="1"/>
    <col min="2" max="2" width="23.9140625" style="1" customWidth="1"/>
    <col min="3" max="3" width="39.9140625" style="1" customWidth="1"/>
    <col min="4" max="4" width="8.9140625" style="1"/>
    <col min="5" max="5" width="12.08203125" style="1" customWidth="1"/>
    <col min="6" max="6" width="11.4140625" style="1" customWidth="1"/>
    <col min="7" max="16384" width="8.9140625" style="1"/>
  </cols>
  <sheetData>
    <row r="1" spans="1:7" x14ac:dyDescent="0.3">
      <c r="A1" s="15" t="s">
        <v>317</v>
      </c>
      <c r="B1" s="15" t="s">
        <v>634</v>
      </c>
      <c r="C1" s="13" t="s">
        <v>0</v>
      </c>
      <c r="D1" s="13" t="s">
        <v>635</v>
      </c>
      <c r="E1" s="13" t="s">
        <v>636</v>
      </c>
      <c r="F1" s="13" t="s">
        <v>692</v>
      </c>
      <c r="G1" s="13" t="s">
        <v>637</v>
      </c>
    </row>
    <row r="2" spans="1:7" x14ac:dyDescent="0.3">
      <c r="A2" s="15"/>
      <c r="B2" s="15"/>
      <c r="C2" s="1" t="s">
        <v>919</v>
      </c>
      <c r="D2" s="1">
        <v>30</v>
      </c>
      <c r="E2" s="1">
        <v>114</v>
      </c>
      <c r="F2" s="1">
        <v>8</v>
      </c>
      <c r="G2" s="1">
        <v>12</v>
      </c>
    </row>
  </sheetData>
  <mergeCells count="2">
    <mergeCell ref="B1:B2"/>
    <mergeCell ref="A1:A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03A5-3498-415A-8EB3-D2D3D47CF7B9}">
  <dimension ref="A1:AB3"/>
  <sheetViews>
    <sheetView zoomScale="130" zoomScaleNormal="130" workbookViewId="0">
      <selection activeCell="F9" sqref="F9"/>
    </sheetView>
  </sheetViews>
  <sheetFormatPr defaultColWidth="8.9140625" defaultRowHeight="14" x14ac:dyDescent="0.3"/>
  <cols>
    <col min="1" max="1" width="3.6640625" style="1" bestFit="1" customWidth="1"/>
    <col min="2" max="2" width="26.33203125" style="1" bestFit="1" customWidth="1"/>
    <col min="3" max="3" width="45.08203125" style="1" bestFit="1" customWidth="1"/>
    <col min="4" max="4" width="7.33203125" style="1" bestFit="1" customWidth="1"/>
    <col min="5" max="5" width="14.08203125" style="1" bestFit="1" customWidth="1"/>
    <col min="6" max="6" width="18.75" style="1" customWidth="1"/>
    <col min="7" max="7" width="31.08203125" style="1" bestFit="1" customWidth="1"/>
    <col min="8" max="8" width="32.9140625" style="1" bestFit="1" customWidth="1"/>
    <col min="9" max="9" width="41.4140625" style="1" bestFit="1" customWidth="1"/>
    <col min="10" max="10" width="56.33203125" style="1" bestFit="1" customWidth="1"/>
    <col min="11" max="11" width="24.33203125" style="1" bestFit="1" customWidth="1"/>
    <col min="12" max="12" width="42.4140625" style="1" bestFit="1" customWidth="1"/>
    <col min="13" max="13" width="39.25" style="1" bestFit="1" customWidth="1"/>
    <col min="14" max="14" width="35.9140625" style="1" bestFit="1" customWidth="1"/>
    <col min="15" max="15" width="29.9140625" style="1" bestFit="1" customWidth="1"/>
    <col min="16" max="16" width="33.58203125" style="1" bestFit="1" customWidth="1"/>
    <col min="17" max="17" width="19.4140625" style="1" bestFit="1" customWidth="1"/>
    <col min="18" max="18" width="12.25" style="1" bestFit="1" customWidth="1"/>
    <col min="19" max="19" width="14.9140625" style="1" bestFit="1" customWidth="1"/>
    <col min="20" max="20" width="13.75" style="1" bestFit="1" customWidth="1"/>
    <col min="21" max="21" width="14.9140625" style="1" bestFit="1" customWidth="1"/>
    <col min="22" max="22" width="29.75" style="1" bestFit="1" customWidth="1"/>
    <col min="23" max="23" width="21.25" style="1" bestFit="1" customWidth="1"/>
    <col min="24" max="24" width="31.58203125" style="1" bestFit="1" customWidth="1"/>
    <col min="25" max="25" width="32.6640625" style="1" bestFit="1" customWidth="1"/>
    <col min="26" max="26" width="56.58203125" style="1" bestFit="1" customWidth="1"/>
    <col min="27" max="27" width="57.6640625" style="1" bestFit="1" customWidth="1"/>
    <col min="28" max="28" width="13.4140625" style="1" bestFit="1" customWidth="1"/>
    <col min="29" max="16384" width="8.9140625" style="1"/>
  </cols>
  <sheetData>
    <row r="1" spans="1:28" x14ac:dyDescent="0.3">
      <c r="A1" s="16" t="s">
        <v>317</v>
      </c>
      <c r="B1" s="16" t="s">
        <v>648</v>
      </c>
      <c r="C1" s="13" t="s">
        <v>0</v>
      </c>
      <c r="D1" s="13" t="s">
        <v>649</v>
      </c>
      <c r="E1" s="13" t="s">
        <v>655</v>
      </c>
      <c r="F1" s="13" t="s">
        <v>656</v>
      </c>
      <c r="G1" s="13" t="s">
        <v>657</v>
      </c>
      <c r="H1" s="13" t="s">
        <v>658</v>
      </c>
      <c r="I1" s="13" t="s">
        <v>659</v>
      </c>
      <c r="J1" s="13" t="s">
        <v>660</v>
      </c>
      <c r="K1" s="13" t="s">
        <v>661</v>
      </c>
      <c r="L1" s="13" t="s">
        <v>662</v>
      </c>
      <c r="M1" s="13" t="s">
        <v>663</v>
      </c>
      <c r="N1" s="13" t="s">
        <v>664</v>
      </c>
      <c r="O1" s="13" t="s">
        <v>665</v>
      </c>
      <c r="P1" s="13" t="s">
        <v>666</v>
      </c>
      <c r="Q1" s="13" t="s">
        <v>667</v>
      </c>
      <c r="R1" s="13" t="s">
        <v>668</v>
      </c>
      <c r="S1" s="13" t="s">
        <v>669</v>
      </c>
      <c r="T1" s="13" t="s">
        <v>670</v>
      </c>
      <c r="U1" s="13" t="s">
        <v>671</v>
      </c>
      <c r="V1" s="13" t="s">
        <v>672</v>
      </c>
      <c r="W1" s="13" t="s">
        <v>673</v>
      </c>
      <c r="X1" s="13" t="s">
        <v>674</v>
      </c>
      <c r="Y1" s="13" t="s">
        <v>675</v>
      </c>
      <c r="Z1" s="13" t="s">
        <v>676</v>
      </c>
      <c r="AA1" s="13" t="s">
        <v>677</v>
      </c>
      <c r="AB1" s="13" t="s">
        <v>678</v>
      </c>
    </row>
    <row r="2" spans="1:28" x14ac:dyDescent="0.3">
      <c r="A2" s="16"/>
      <c r="B2" s="16"/>
      <c r="C2" s="1" t="s">
        <v>1030</v>
      </c>
      <c r="D2" s="1">
        <v>1</v>
      </c>
      <c r="E2" s="1">
        <v>21</v>
      </c>
      <c r="F2" s="1" t="s">
        <v>813</v>
      </c>
      <c r="G2" s="1">
        <v>-4.8</v>
      </c>
      <c r="H2" s="1">
        <v>0</v>
      </c>
      <c r="I2" s="1" t="s">
        <v>815</v>
      </c>
      <c r="K2" s="1" t="s">
        <v>816</v>
      </c>
      <c r="L2" s="1">
        <v>-4.8</v>
      </c>
      <c r="Q2" s="1">
        <v>101181</v>
      </c>
      <c r="R2" s="1">
        <v>1</v>
      </c>
      <c r="S2" s="1">
        <v>340</v>
      </c>
      <c r="T2" s="1" t="s">
        <v>415</v>
      </c>
      <c r="U2" s="1" t="s">
        <v>415</v>
      </c>
      <c r="V2" s="1" t="s">
        <v>415</v>
      </c>
      <c r="W2" s="1" t="s">
        <v>817</v>
      </c>
      <c r="AB2" s="1">
        <v>0</v>
      </c>
    </row>
    <row r="3" spans="1:28" x14ac:dyDescent="0.3">
      <c r="A3" s="16"/>
      <c r="B3" s="16"/>
      <c r="C3" s="1" t="s">
        <v>1031</v>
      </c>
      <c r="D3" s="1">
        <v>7</v>
      </c>
      <c r="E3" s="1">
        <v>21</v>
      </c>
      <c r="F3" s="1" t="s">
        <v>818</v>
      </c>
      <c r="G3" s="1">
        <v>35.1</v>
      </c>
      <c r="H3" s="1">
        <v>6.6</v>
      </c>
      <c r="I3" s="1" t="s">
        <v>814</v>
      </c>
      <c r="K3" s="1" t="s">
        <v>816</v>
      </c>
      <c r="L3" s="1">
        <v>27.1</v>
      </c>
      <c r="Q3" s="1">
        <v>101181</v>
      </c>
      <c r="R3" s="1">
        <v>3.5</v>
      </c>
      <c r="S3" s="1">
        <v>220</v>
      </c>
      <c r="T3" s="1" t="s">
        <v>415</v>
      </c>
      <c r="U3" s="1" t="s">
        <v>415</v>
      </c>
      <c r="V3" s="1" t="s">
        <v>415</v>
      </c>
      <c r="W3" s="1" t="s">
        <v>819</v>
      </c>
      <c r="Z3" s="1">
        <v>0.78100000000000003</v>
      </c>
      <c r="AA3" s="1">
        <v>1.413</v>
      </c>
    </row>
  </sheetData>
  <mergeCells count="2">
    <mergeCell ref="B1:B3"/>
    <mergeCell ref="A1:A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EE26-BAB6-414A-9B18-8E9BAA2FFE37}">
  <dimension ref="A1:AJ2"/>
  <sheetViews>
    <sheetView workbookViewId="0">
      <selection activeCell="V13" sqref="V13"/>
    </sheetView>
  </sheetViews>
  <sheetFormatPr defaultColWidth="8.9140625" defaultRowHeight="14" x14ac:dyDescent="0.3"/>
  <cols>
    <col min="1" max="1" width="3.6640625" style="1" bestFit="1" customWidth="1"/>
    <col min="2" max="2" width="13.08203125" style="1" bestFit="1" customWidth="1"/>
    <col min="3" max="3" width="22.6640625" style="1" bestFit="1" customWidth="1"/>
    <col min="4" max="4" width="56.33203125" style="1" bestFit="1" customWidth="1"/>
    <col min="5" max="5" width="42.75" style="1" bestFit="1" customWidth="1"/>
    <col min="6" max="6" width="52.75" style="1" bestFit="1" customWidth="1"/>
    <col min="7" max="7" width="56.4140625" style="1" bestFit="1" customWidth="1"/>
    <col min="8" max="8" width="42.9140625" style="1" bestFit="1" customWidth="1"/>
    <col min="9" max="9" width="53.58203125" style="1" bestFit="1" customWidth="1"/>
    <col min="10" max="10" width="44.6640625" style="1" bestFit="1" customWidth="1"/>
    <col min="11" max="11" width="44.75" style="1" bestFit="1" customWidth="1"/>
    <col min="12" max="12" width="44.25" style="1" bestFit="1" customWidth="1"/>
    <col min="13" max="13" width="26" style="1" bestFit="1" customWidth="1"/>
    <col min="14" max="14" width="25.9140625" style="1" bestFit="1" customWidth="1"/>
    <col min="15" max="15" width="31.08203125" style="1" bestFit="1" customWidth="1"/>
    <col min="16" max="16" width="27.75" style="1" bestFit="1" customWidth="1"/>
    <col min="17" max="17" width="45" style="1" bestFit="1" customWidth="1"/>
    <col min="18" max="19" width="25.6640625" style="1" bestFit="1" customWidth="1"/>
    <col min="20" max="20" width="31.25" style="1" bestFit="1" customWidth="1"/>
    <col min="21" max="21" width="27.9140625" style="1" bestFit="1" customWidth="1"/>
    <col min="22" max="22" width="45.4140625" style="1" bestFit="1" customWidth="1"/>
    <col min="23" max="23" width="26.25" style="1" bestFit="1" customWidth="1"/>
    <col min="24" max="24" width="34.33203125" style="1" bestFit="1" customWidth="1"/>
    <col min="25" max="25" width="52.4140625" style="1" bestFit="1" customWidth="1"/>
    <col min="26" max="26" width="40.58203125" style="1" bestFit="1" customWidth="1"/>
    <col min="27" max="27" width="45" style="1" bestFit="1" customWidth="1"/>
    <col min="28" max="28" width="57.4140625" style="1" bestFit="1" customWidth="1"/>
    <col min="29" max="29" width="58" style="1" bestFit="1" customWidth="1"/>
    <col min="30" max="30" width="24.75" style="1" bestFit="1" customWidth="1"/>
    <col min="31" max="31" width="64.58203125" style="1" bestFit="1" customWidth="1"/>
    <col min="32" max="32" width="53.25" style="1" bestFit="1" customWidth="1"/>
    <col min="33" max="33" width="54.58203125" style="1" bestFit="1" customWidth="1"/>
    <col min="34" max="34" width="64.75" style="1" bestFit="1" customWidth="1"/>
    <col min="35" max="35" width="51" style="1" bestFit="1" customWidth="1"/>
    <col min="36" max="36" width="61" style="1" bestFit="1" customWidth="1"/>
    <col min="37" max="16384" width="8.9140625" style="1"/>
  </cols>
  <sheetData>
    <row r="1" spans="1:36" x14ac:dyDescent="0.3">
      <c r="A1" s="15" t="s">
        <v>317</v>
      </c>
      <c r="B1" s="15" t="s">
        <v>829</v>
      </c>
      <c r="C1" s="13" t="s">
        <v>262</v>
      </c>
      <c r="D1" s="1" t="s">
        <v>830</v>
      </c>
      <c r="E1" s="1" t="s">
        <v>831</v>
      </c>
      <c r="F1" s="1" t="s">
        <v>832</v>
      </c>
      <c r="G1" s="1" t="s">
        <v>833</v>
      </c>
      <c r="H1" s="1" t="s">
        <v>834</v>
      </c>
      <c r="I1" s="1" t="s">
        <v>835</v>
      </c>
      <c r="J1" s="1" t="s">
        <v>836</v>
      </c>
      <c r="K1" s="1" t="s">
        <v>837</v>
      </c>
      <c r="L1" s="1" t="s">
        <v>497</v>
      </c>
      <c r="M1" s="1" t="s">
        <v>838</v>
      </c>
      <c r="N1" s="1" t="s">
        <v>839</v>
      </c>
      <c r="O1" s="1" t="s">
        <v>840</v>
      </c>
      <c r="P1" s="1" t="s">
        <v>841</v>
      </c>
      <c r="Q1" s="1" t="s">
        <v>842</v>
      </c>
      <c r="R1" s="1" t="s">
        <v>843</v>
      </c>
      <c r="S1" s="1" t="s">
        <v>843</v>
      </c>
      <c r="T1" s="1" t="s">
        <v>844</v>
      </c>
      <c r="U1" s="1" t="s">
        <v>845</v>
      </c>
      <c r="V1" s="1" t="s">
        <v>846</v>
      </c>
      <c r="W1" s="1" t="s">
        <v>847</v>
      </c>
      <c r="X1" s="1" t="s">
        <v>848</v>
      </c>
      <c r="Y1" s="1" t="s">
        <v>849</v>
      </c>
      <c r="Z1" s="1" t="s">
        <v>850</v>
      </c>
      <c r="AA1" s="1" t="s">
        <v>851</v>
      </c>
      <c r="AB1" s="1" t="s">
        <v>852</v>
      </c>
      <c r="AC1" s="1" t="s">
        <v>853</v>
      </c>
      <c r="AD1" s="1" t="s">
        <v>854</v>
      </c>
      <c r="AE1" s="1" t="s">
        <v>855</v>
      </c>
      <c r="AF1" s="1" t="s">
        <v>856</v>
      </c>
      <c r="AG1" s="1" t="s">
        <v>857</v>
      </c>
      <c r="AH1" s="1" t="s">
        <v>858</v>
      </c>
      <c r="AI1" s="1" t="s">
        <v>859</v>
      </c>
      <c r="AJ1" s="1" t="s">
        <v>860</v>
      </c>
    </row>
    <row r="2" spans="1:36" x14ac:dyDescent="0.3">
      <c r="A2" s="15"/>
      <c r="B2" s="15"/>
      <c r="D2" s="1" t="s">
        <v>861</v>
      </c>
      <c r="E2" s="1">
        <v>14</v>
      </c>
      <c r="F2" s="1">
        <v>11.11</v>
      </c>
      <c r="G2" s="1" t="s">
        <v>861</v>
      </c>
      <c r="H2" s="1">
        <v>40</v>
      </c>
      <c r="I2" s="1">
        <v>11.11</v>
      </c>
      <c r="J2" s="1">
        <v>8.5000000000000006E-3</v>
      </c>
      <c r="K2" s="1">
        <v>8.0000000000000002E-3</v>
      </c>
      <c r="O2" s="1" t="s">
        <v>862</v>
      </c>
      <c r="P2" s="1">
        <v>0</v>
      </c>
      <c r="Q2" s="1">
        <v>7.6199999999999998E-4</v>
      </c>
      <c r="R2" s="1">
        <v>0</v>
      </c>
      <c r="S2" s="1">
        <v>0</v>
      </c>
      <c r="T2" s="1" t="s">
        <v>862</v>
      </c>
      <c r="U2" s="1">
        <v>0</v>
      </c>
      <c r="V2" s="1">
        <v>2.032E-3</v>
      </c>
    </row>
  </sheetData>
  <mergeCells count="2">
    <mergeCell ref="B1:B2"/>
    <mergeCell ref="A1:A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91C2-2968-4B00-87B6-8FF14BB75FFA}">
  <dimension ref="A1:L2"/>
  <sheetViews>
    <sheetView topLeftCell="I1" zoomScale="145" zoomScaleNormal="145" workbookViewId="0">
      <selection activeCell="K37" sqref="K37"/>
    </sheetView>
  </sheetViews>
  <sheetFormatPr defaultColWidth="8.9140625" defaultRowHeight="14" x14ac:dyDescent="0.3"/>
  <cols>
    <col min="1" max="1" width="3.6640625" style="1" bestFit="1" customWidth="1"/>
    <col min="2" max="2" width="23.4140625" style="1" bestFit="1" customWidth="1"/>
    <col min="3" max="3" width="27.33203125" style="1" bestFit="1" customWidth="1"/>
    <col min="4" max="4" width="45" style="1" bestFit="1" customWidth="1"/>
    <col min="5" max="5" width="36.9140625" style="1" bestFit="1" customWidth="1"/>
    <col min="6" max="6" width="47.58203125" style="1" bestFit="1" customWidth="1"/>
    <col min="7" max="7" width="26.4140625" style="1" bestFit="1" customWidth="1"/>
    <col min="8" max="8" width="24.6640625" style="1" bestFit="1" customWidth="1"/>
    <col min="9" max="9" width="30.08203125" style="1" bestFit="1" customWidth="1"/>
    <col min="10" max="10" width="41.75" style="1" bestFit="1" customWidth="1"/>
    <col min="11" max="11" width="47.58203125" style="1" bestFit="1" customWidth="1"/>
    <col min="12" max="12" width="55" style="1" bestFit="1" customWidth="1"/>
    <col min="13" max="16384" width="8.9140625" style="1"/>
  </cols>
  <sheetData>
    <row r="1" spans="1:12" x14ac:dyDescent="0.3">
      <c r="A1" s="16" t="s">
        <v>317</v>
      </c>
      <c r="B1" s="16" t="s">
        <v>812</v>
      </c>
      <c r="C1" s="13" t="s">
        <v>876</v>
      </c>
      <c r="D1" s="13" t="s">
        <v>877</v>
      </c>
      <c r="E1" s="13" t="s">
        <v>878</v>
      </c>
      <c r="F1" s="13" t="s">
        <v>879</v>
      </c>
      <c r="G1" s="13" t="s">
        <v>880</v>
      </c>
      <c r="H1" s="13" t="s">
        <v>881</v>
      </c>
      <c r="I1" s="13" t="s">
        <v>882</v>
      </c>
      <c r="J1" s="13" t="s">
        <v>883</v>
      </c>
      <c r="K1" s="13" t="s">
        <v>898</v>
      </c>
      <c r="L1" s="13" t="s">
        <v>899</v>
      </c>
    </row>
    <row r="2" spans="1:12" x14ac:dyDescent="0.3">
      <c r="A2" s="16"/>
      <c r="B2" s="16"/>
      <c r="C2" s="13" t="s">
        <v>871</v>
      </c>
      <c r="D2" s="13" t="s">
        <v>872</v>
      </c>
      <c r="E2" s="13">
        <v>30</v>
      </c>
      <c r="F2" s="1">
        <v>15000</v>
      </c>
      <c r="G2" s="13" t="s">
        <v>873</v>
      </c>
      <c r="H2" s="13">
        <v>512</v>
      </c>
      <c r="I2" s="13" t="s">
        <v>874</v>
      </c>
      <c r="J2" s="1" t="s">
        <v>875</v>
      </c>
      <c r="K2" s="1" t="s">
        <v>875</v>
      </c>
      <c r="L2" s="1" t="s">
        <v>875</v>
      </c>
    </row>
  </sheetData>
  <mergeCells count="2">
    <mergeCell ref="B1:B2"/>
    <mergeCell ref="A1:A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4E4A-381D-4B13-A008-A6E638F5AA4E}">
  <dimension ref="A1:G2"/>
  <sheetViews>
    <sheetView workbookViewId="0">
      <selection activeCell="G1" sqref="G1"/>
    </sheetView>
  </sheetViews>
  <sheetFormatPr defaultRowHeight="14" x14ac:dyDescent="0.3"/>
  <cols>
    <col min="1" max="1" width="3.6640625" bestFit="1" customWidth="1"/>
    <col min="2" max="2" width="25.08203125" bestFit="1" customWidth="1"/>
    <col min="3" max="3" width="22.6640625" bestFit="1" customWidth="1"/>
    <col min="4" max="4" width="21.08203125" bestFit="1" customWidth="1"/>
    <col min="5" max="5" width="18.33203125" bestFit="1" customWidth="1"/>
    <col min="6" max="6" width="44.75" bestFit="1" customWidth="1"/>
    <col min="7" max="7" width="37.4140625" bestFit="1" customWidth="1"/>
  </cols>
  <sheetData>
    <row r="1" spans="1:7" x14ac:dyDescent="0.3">
      <c r="A1" t="s">
        <v>317</v>
      </c>
      <c r="B1" t="s">
        <v>884</v>
      </c>
      <c r="C1" s="2" t="s">
        <v>900</v>
      </c>
      <c r="D1" s="2" t="s">
        <v>901</v>
      </c>
      <c r="E1" s="2" t="s">
        <v>902</v>
      </c>
      <c r="F1" s="2" t="s">
        <v>903</v>
      </c>
      <c r="G1" s="2" t="s">
        <v>904</v>
      </c>
    </row>
    <row r="2" spans="1:7" x14ac:dyDescent="0.3">
      <c r="C2" s="2" t="s">
        <v>885</v>
      </c>
      <c r="D2" s="2" t="s">
        <v>886</v>
      </c>
      <c r="E2" s="2" t="s">
        <v>887</v>
      </c>
      <c r="F2" s="2" t="s">
        <v>887</v>
      </c>
      <c r="G2" s="2" t="s">
        <v>887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AFB4-8920-451A-B408-0E621513B48F}">
  <dimension ref="A1:G20"/>
  <sheetViews>
    <sheetView topLeftCell="C1" zoomScale="145" zoomScaleNormal="145" workbookViewId="0">
      <selection activeCell="E8" sqref="E8"/>
    </sheetView>
  </sheetViews>
  <sheetFormatPr defaultColWidth="8.9140625" defaultRowHeight="14" x14ac:dyDescent="0.3"/>
  <cols>
    <col min="1" max="1" width="8.9140625" style="1"/>
    <col min="2" max="2" width="21.4140625" style="1" bestFit="1" customWidth="1"/>
    <col min="3" max="3" width="12.6640625" style="1" bestFit="1" customWidth="1"/>
    <col min="4" max="4" width="17.33203125" style="1" bestFit="1" customWidth="1"/>
    <col min="5" max="5" width="17.4140625" style="1" bestFit="1" customWidth="1"/>
    <col min="6" max="7" width="13.6640625" style="1" bestFit="1" customWidth="1"/>
    <col min="8" max="16384" width="8.9140625" style="1"/>
  </cols>
  <sheetData>
    <row r="1" spans="1:7" x14ac:dyDescent="0.3">
      <c r="A1" s="16" t="s">
        <v>317</v>
      </c>
      <c r="B1" s="16" t="s">
        <v>2</v>
      </c>
      <c r="C1" s="1" t="s">
        <v>0</v>
      </c>
      <c r="D1" s="1" t="s">
        <v>38</v>
      </c>
      <c r="E1" s="1" t="s">
        <v>39</v>
      </c>
      <c r="F1" s="1" t="s">
        <v>40</v>
      </c>
      <c r="G1" s="2" t="s">
        <v>41</v>
      </c>
    </row>
    <row r="2" spans="1:7" x14ac:dyDescent="0.3">
      <c r="A2" s="16"/>
      <c r="B2" s="16"/>
      <c r="C2" s="1" t="s">
        <v>1</v>
      </c>
      <c r="D2" s="1">
        <v>-60</v>
      </c>
      <c r="E2" s="1">
        <v>200</v>
      </c>
      <c r="F2" s="1" t="s">
        <v>3</v>
      </c>
      <c r="G2" s="2" t="s">
        <v>6</v>
      </c>
    </row>
    <row r="3" spans="1:7" x14ac:dyDescent="0.3">
      <c r="A3" s="16"/>
      <c r="B3" s="16"/>
      <c r="C3" s="1" t="s">
        <v>5</v>
      </c>
      <c r="D3" s="1">
        <v>0</v>
      </c>
      <c r="E3" s="1">
        <v>1</v>
      </c>
      <c r="F3" s="1" t="s">
        <v>3</v>
      </c>
      <c r="G3" s="2" t="s">
        <v>8</v>
      </c>
    </row>
    <row r="4" spans="1:7" x14ac:dyDescent="0.3">
      <c r="A4" s="16"/>
      <c r="B4" s="16"/>
      <c r="C4" s="1" t="s">
        <v>4</v>
      </c>
      <c r="D4" s="1">
        <v>0</v>
      </c>
      <c r="E4" s="1">
        <v>1</v>
      </c>
      <c r="F4" s="1" t="s">
        <v>11</v>
      </c>
      <c r="G4" s="2" t="s">
        <v>7</v>
      </c>
    </row>
    <row r="5" spans="1:7" x14ac:dyDescent="0.3">
      <c r="A5" s="16"/>
      <c r="B5" s="16"/>
      <c r="C5" s="1" t="s">
        <v>12</v>
      </c>
      <c r="D5" s="1">
        <v>0</v>
      </c>
      <c r="F5" s="1" t="s">
        <v>3</v>
      </c>
      <c r="G5" s="2" t="s">
        <v>8</v>
      </c>
    </row>
    <row r="20" spans="5:5" x14ac:dyDescent="0.3">
      <c r="E20" s="2"/>
    </row>
  </sheetData>
  <mergeCells count="2">
    <mergeCell ref="B1:B5"/>
    <mergeCell ref="A1:A5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875F-9E29-4365-8AF4-A1A807E13D6F}">
  <dimension ref="A1:AC135"/>
  <sheetViews>
    <sheetView tabSelected="1" topLeftCell="G121" zoomScale="130" zoomScaleNormal="130" workbookViewId="0">
      <selection activeCell="W140" sqref="W140"/>
    </sheetView>
  </sheetViews>
  <sheetFormatPr defaultRowHeight="14" x14ac:dyDescent="0.3"/>
  <cols>
    <col min="2" max="2" width="37.33203125" customWidth="1"/>
    <col min="3" max="3" width="18" style="4" customWidth="1"/>
    <col min="4" max="4" width="49.58203125" bestFit="1" customWidth="1"/>
    <col min="5" max="5" width="27.08203125" bestFit="1" customWidth="1"/>
    <col min="6" max="14" width="7.58203125" bestFit="1" customWidth="1"/>
    <col min="15" max="29" width="8.58203125" bestFit="1" customWidth="1"/>
  </cols>
  <sheetData>
    <row r="1" spans="1:29" x14ac:dyDescent="0.3">
      <c r="A1" s="16" t="s">
        <v>317</v>
      </c>
      <c r="B1" s="19" t="s">
        <v>304</v>
      </c>
      <c r="C1" s="9" t="s">
        <v>9</v>
      </c>
      <c r="D1" s="2" t="s">
        <v>42</v>
      </c>
      <c r="E1" s="2" t="s">
        <v>319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</row>
    <row r="2" spans="1:29" x14ac:dyDescent="0.3">
      <c r="A2" s="16"/>
      <c r="B2" s="19"/>
      <c r="C2" s="18" t="s">
        <v>916</v>
      </c>
      <c r="D2" s="9" t="s">
        <v>1007</v>
      </c>
      <c r="E2" s="10" t="s">
        <v>1</v>
      </c>
      <c r="F2" s="9">
        <v>-20</v>
      </c>
      <c r="G2" s="9">
        <v>-20</v>
      </c>
      <c r="H2" s="9">
        <v>-20</v>
      </c>
      <c r="I2" s="9">
        <v>-20</v>
      </c>
      <c r="J2" s="9">
        <v>-20</v>
      </c>
      <c r="K2" s="9">
        <v>-20</v>
      </c>
      <c r="L2" s="9">
        <v>-20</v>
      </c>
      <c r="M2" s="9">
        <v>-20</v>
      </c>
      <c r="N2" s="9">
        <v>-20</v>
      </c>
      <c r="O2" s="9">
        <v>-20</v>
      </c>
      <c r="P2" s="9">
        <v>-20</v>
      </c>
      <c r="Q2" s="9">
        <v>-20</v>
      </c>
      <c r="R2" s="9">
        <v>-20</v>
      </c>
      <c r="S2" s="9">
        <v>-20</v>
      </c>
      <c r="T2" s="9">
        <v>-20</v>
      </c>
      <c r="U2" s="9">
        <v>-20</v>
      </c>
      <c r="V2" s="9">
        <v>-20</v>
      </c>
      <c r="W2" s="9">
        <v>-20</v>
      </c>
      <c r="X2" s="9">
        <v>-20</v>
      </c>
      <c r="Y2" s="9">
        <v>-20</v>
      </c>
      <c r="Z2" s="9">
        <v>-20</v>
      </c>
      <c r="AA2" s="9">
        <v>-20</v>
      </c>
      <c r="AB2" s="9">
        <v>-20</v>
      </c>
      <c r="AC2" s="9">
        <v>-20</v>
      </c>
    </row>
    <row r="3" spans="1:29" x14ac:dyDescent="0.3">
      <c r="A3" s="16"/>
      <c r="B3" s="19"/>
      <c r="C3" s="18"/>
      <c r="D3" s="9" t="s">
        <v>1006</v>
      </c>
      <c r="E3" s="10" t="s">
        <v>1</v>
      </c>
      <c r="F3" s="9">
        <v>5</v>
      </c>
      <c r="G3" s="9">
        <v>5</v>
      </c>
      <c r="H3" s="9">
        <v>5</v>
      </c>
      <c r="I3" s="9">
        <v>5</v>
      </c>
      <c r="J3" s="9">
        <v>5</v>
      </c>
      <c r="K3" s="9">
        <v>5</v>
      </c>
      <c r="L3" s="9">
        <v>12</v>
      </c>
      <c r="M3" s="9">
        <v>12</v>
      </c>
      <c r="N3" s="9">
        <v>18</v>
      </c>
      <c r="O3" s="9">
        <v>20</v>
      </c>
      <c r="P3" s="9">
        <v>20</v>
      </c>
      <c r="Q3" s="9">
        <v>20</v>
      </c>
      <c r="R3" s="9">
        <v>20</v>
      </c>
      <c r="S3" s="9">
        <v>20</v>
      </c>
      <c r="T3" s="9">
        <v>20</v>
      </c>
      <c r="U3" s="9">
        <v>20</v>
      </c>
      <c r="V3" s="9">
        <v>20</v>
      </c>
      <c r="W3" s="9">
        <v>20</v>
      </c>
      <c r="X3" s="9">
        <v>18</v>
      </c>
      <c r="Y3" s="9">
        <v>5</v>
      </c>
      <c r="Z3" s="9">
        <v>5</v>
      </c>
      <c r="AA3" s="9">
        <v>5</v>
      </c>
      <c r="AB3" s="9">
        <v>5</v>
      </c>
      <c r="AC3" s="9">
        <v>5</v>
      </c>
    </row>
    <row r="4" spans="1:29" x14ac:dyDescent="0.3">
      <c r="A4" s="16"/>
      <c r="B4" s="19"/>
      <c r="C4" s="18"/>
      <c r="D4" s="9" t="s">
        <v>1005</v>
      </c>
      <c r="E4" s="10" t="s">
        <v>1</v>
      </c>
      <c r="F4" s="9">
        <v>5</v>
      </c>
      <c r="G4" s="9">
        <v>5</v>
      </c>
      <c r="H4" s="9">
        <v>5</v>
      </c>
      <c r="I4" s="9">
        <v>5</v>
      </c>
      <c r="J4" s="9">
        <v>5</v>
      </c>
      <c r="K4" s="9">
        <v>5</v>
      </c>
      <c r="L4" s="9">
        <v>5</v>
      </c>
      <c r="M4" s="9">
        <v>5</v>
      </c>
      <c r="N4" s="9">
        <v>5</v>
      </c>
      <c r="O4" s="9">
        <v>5</v>
      </c>
      <c r="P4" s="9">
        <v>5</v>
      </c>
      <c r="Q4" s="9">
        <v>5</v>
      </c>
      <c r="R4" s="9">
        <v>5</v>
      </c>
      <c r="S4" s="9">
        <v>5</v>
      </c>
      <c r="T4" s="9">
        <v>5</v>
      </c>
      <c r="U4" s="9">
        <v>5</v>
      </c>
      <c r="V4" s="9">
        <v>5</v>
      </c>
      <c r="W4" s="9">
        <v>5</v>
      </c>
      <c r="X4" s="9">
        <v>5</v>
      </c>
      <c r="Y4" s="9">
        <v>5</v>
      </c>
      <c r="Z4" s="9">
        <v>5</v>
      </c>
      <c r="AA4" s="9">
        <v>5</v>
      </c>
      <c r="AB4" s="9">
        <v>5</v>
      </c>
      <c r="AC4" s="9">
        <v>5</v>
      </c>
    </row>
    <row r="5" spans="1:29" x14ac:dyDescent="0.3">
      <c r="A5" s="16"/>
      <c r="B5" s="19"/>
      <c r="C5" s="18"/>
      <c r="D5" s="9" t="s">
        <v>1004</v>
      </c>
      <c r="E5" s="10" t="s">
        <v>1</v>
      </c>
      <c r="F5" s="9">
        <v>50</v>
      </c>
      <c r="G5" s="9">
        <v>50</v>
      </c>
      <c r="H5" s="9">
        <v>50</v>
      </c>
      <c r="I5" s="9">
        <v>50</v>
      </c>
      <c r="J5" s="9">
        <v>50</v>
      </c>
      <c r="K5" s="9">
        <v>50</v>
      </c>
      <c r="L5" s="9">
        <v>50</v>
      </c>
      <c r="M5" s="9">
        <v>50</v>
      </c>
      <c r="N5" s="9">
        <v>50</v>
      </c>
      <c r="O5" s="9">
        <v>50</v>
      </c>
      <c r="P5" s="9">
        <v>50</v>
      </c>
      <c r="Q5" s="9">
        <v>50</v>
      </c>
      <c r="R5" s="9">
        <v>50</v>
      </c>
      <c r="S5" s="9">
        <v>50</v>
      </c>
      <c r="T5" s="9">
        <v>50</v>
      </c>
      <c r="U5" s="9">
        <v>50</v>
      </c>
      <c r="V5" s="9">
        <v>50</v>
      </c>
      <c r="W5" s="9">
        <v>50</v>
      </c>
      <c r="X5" s="9">
        <v>50</v>
      </c>
      <c r="Y5" s="9">
        <v>50</v>
      </c>
      <c r="Z5" s="9">
        <v>50</v>
      </c>
      <c r="AA5" s="9">
        <v>50</v>
      </c>
      <c r="AB5" s="9">
        <v>50</v>
      </c>
      <c r="AC5" s="9">
        <v>50</v>
      </c>
    </row>
    <row r="6" spans="1:29" x14ac:dyDescent="0.3">
      <c r="A6" s="16"/>
      <c r="B6" s="19"/>
      <c r="C6" s="18"/>
      <c r="D6" s="9" t="s">
        <v>1003</v>
      </c>
      <c r="E6" s="10" t="s">
        <v>1</v>
      </c>
      <c r="F6" s="9">
        <v>50</v>
      </c>
      <c r="G6" s="9">
        <v>50</v>
      </c>
      <c r="H6" s="9">
        <v>50</v>
      </c>
      <c r="I6" s="9">
        <v>50</v>
      </c>
      <c r="J6" s="9">
        <v>50</v>
      </c>
      <c r="K6" s="9">
        <v>50</v>
      </c>
      <c r="L6" s="9">
        <v>50</v>
      </c>
      <c r="M6" s="9">
        <v>28</v>
      </c>
      <c r="N6" s="9">
        <v>26</v>
      </c>
      <c r="O6" s="9">
        <v>26</v>
      </c>
      <c r="P6" s="9">
        <v>26</v>
      </c>
      <c r="Q6" s="9">
        <v>26</v>
      </c>
      <c r="R6" s="9">
        <v>26</v>
      </c>
      <c r="S6" s="9">
        <v>26</v>
      </c>
      <c r="T6" s="9">
        <v>26</v>
      </c>
      <c r="U6" s="9">
        <v>26</v>
      </c>
      <c r="V6" s="9">
        <v>26</v>
      </c>
      <c r="W6" s="9">
        <v>26</v>
      </c>
      <c r="X6" s="9">
        <v>50</v>
      </c>
      <c r="Y6" s="9">
        <v>50</v>
      </c>
      <c r="Z6" s="9">
        <v>50</v>
      </c>
      <c r="AA6" s="9">
        <v>50</v>
      </c>
      <c r="AB6" s="9">
        <v>50</v>
      </c>
      <c r="AC6" s="9">
        <v>50</v>
      </c>
    </row>
    <row r="7" spans="1:29" x14ac:dyDescent="0.3">
      <c r="A7" s="16"/>
      <c r="B7" s="19"/>
      <c r="C7" s="18"/>
      <c r="D7" s="9" t="s">
        <v>1002</v>
      </c>
      <c r="E7" s="10" t="s">
        <v>1</v>
      </c>
      <c r="F7" s="9">
        <v>50</v>
      </c>
      <c r="G7" s="9">
        <v>50</v>
      </c>
      <c r="H7" s="9">
        <v>50</v>
      </c>
      <c r="I7" s="9">
        <v>50</v>
      </c>
      <c r="J7" s="9">
        <v>50</v>
      </c>
      <c r="K7" s="9">
        <v>50</v>
      </c>
      <c r="L7" s="9">
        <v>50</v>
      </c>
      <c r="M7" s="9">
        <v>50</v>
      </c>
      <c r="N7" s="9">
        <v>50</v>
      </c>
      <c r="O7" s="9">
        <v>50</v>
      </c>
      <c r="P7" s="9">
        <v>50</v>
      </c>
      <c r="Q7" s="9">
        <v>50</v>
      </c>
      <c r="R7" s="9">
        <v>50</v>
      </c>
      <c r="S7" s="9">
        <v>50</v>
      </c>
      <c r="T7" s="9">
        <v>50</v>
      </c>
      <c r="U7" s="9">
        <v>50</v>
      </c>
      <c r="V7" s="9">
        <v>50</v>
      </c>
      <c r="W7" s="9">
        <v>50</v>
      </c>
      <c r="X7" s="9">
        <v>50</v>
      </c>
      <c r="Y7" s="9">
        <v>50</v>
      </c>
      <c r="Z7" s="9">
        <v>50</v>
      </c>
      <c r="AA7" s="9">
        <v>50</v>
      </c>
      <c r="AB7" s="9">
        <v>50</v>
      </c>
      <c r="AC7" s="9">
        <v>50</v>
      </c>
    </row>
    <row r="8" spans="1:29" x14ac:dyDescent="0.3">
      <c r="A8" s="16"/>
      <c r="B8" s="19"/>
      <c r="C8" s="18"/>
      <c r="D8" s="9" t="s">
        <v>1001</v>
      </c>
      <c r="E8" s="10" t="s">
        <v>5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0.5</v>
      </c>
      <c r="N8" s="9">
        <v>0.95</v>
      </c>
      <c r="O8" s="9">
        <v>0.95</v>
      </c>
      <c r="P8" s="9">
        <v>0.95</v>
      </c>
      <c r="Q8" s="9">
        <v>0.8</v>
      </c>
      <c r="R8" s="9">
        <v>0.8</v>
      </c>
      <c r="S8" s="9">
        <v>0.95</v>
      </c>
      <c r="T8" s="9">
        <v>0.95</v>
      </c>
      <c r="U8" s="9">
        <v>0.95</v>
      </c>
      <c r="V8" s="9">
        <v>0.95</v>
      </c>
      <c r="W8" s="9">
        <v>0.95</v>
      </c>
      <c r="X8" s="9">
        <v>0.3</v>
      </c>
      <c r="Y8" s="9">
        <v>0</v>
      </c>
      <c r="Z8" s="9">
        <v>0</v>
      </c>
      <c r="AA8" s="9">
        <v>0</v>
      </c>
      <c r="AB8" s="9">
        <v>0</v>
      </c>
      <c r="AC8" s="9">
        <v>0</v>
      </c>
    </row>
    <row r="9" spans="1:29" x14ac:dyDescent="0.3">
      <c r="A9" s="16"/>
      <c r="B9" s="19"/>
      <c r="C9" s="18"/>
      <c r="D9" s="9" t="s">
        <v>1000</v>
      </c>
      <c r="E9" s="10" t="s">
        <v>5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</row>
    <row r="10" spans="1:29" x14ac:dyDescent="0.3">
      <c r="A10" s="16"/>
      <c r="B10" s="19"/>
      <c r="C10" s="18"/>
      <c r="D10" s="9" t="s">
        <v>999</v>
      </c>
      <c r="E10" s="10" t="s">
        <v>5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0.1</v>
      </c>
      <c r="M10" s="9">
        <v>0.5</v>
      </c>
      <c r="N10" s="9">
        <v>0.95</v>
      </c>
      <c r="O10" s="9">
        <v>0.95</v>
      </c>
      <c r="P10" s="9">
        <v>0.95</v>
      </c>
      <c r="Q10" s="9">
        <v>0.5</v>
      </c>
      <c r="R10" s="9">
        <v>0.5</v>
      </c>
      <c r="S10" s="9">
        <v>0.95</v>
      </c>
      <c r="T10" s="9">
        <v>0.95</v>
      </c>
      <c r="U10" s="9">
        <v>0.95</v>
      </c>
      <c r="V10" s="9">
        <v>0.95</v>
      </c>
      <c r="W10" s="9">
        <v>0.3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</row>
    <row r="11" spans="1:29" x14ac:dyDescent="0.3">
      <c r="A11" s="16"/>
      <c r="B11" s="19"/>
      <c r="C11" s="18"/>
      <c r="D11" s="9" t="s">
        <v>998</v>
      </c>
      <c r="E11" s="10" t="s">
        <v>5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</row>
    <row r="12" spans="1:29" x14ac:dyDescent="0.3">
      <c r="A12" s="16"/>
      <c r="B12" s="19"/>
      <c r="C12" s="18"/>
      <c r="D12" s="9" t="s">
        <v>997</v>
      </c>
      <c r="E12" s="10" t="s">
        <v>5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0.1</v>
      </c>
      <c r="M12" s="9">
        <v>0.5</v>
      </c>
      <c r="N12" s="9">
        <v>0.95</v>
      </c>
      <c r="O12" s="9">
        <v>0.95</v>
      </c>
      <c r="P12" s="9">
        <v>0.95</v>
      </c>
      <c r="Q12" s="9">
        <v>0.8</v>
      </c>
      <c r="R12" s="9">
        <v>0.8</v>
      </c>
      <c r="S12" s="9">
        <v>0.95</v>
      </c>
      <c r="T12" s="9">
        <v>0.95</v>
      </c>
      <c r="U12" s="9">
        <v>0.95</v>
      </c>
      <c r="V12" s="9">
        <v>0.95</v>
      </c>
      <c r="W12" s="9">
        <v>0.3</v>
      </c>
      <c r="X12" s="9">
        <v>0.1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</row>
    <row r="13" spans="1:29" x14ac:dyDescent="0.3">
      <c r="A13" s="16"/>
      <c r="B13" s="19"/>
      <c r="C13" s="18"/>
      <c r="D13" s="9" t="s">
        <v>996</v>
      </c>
      <c r="E13" s="10" t="s">
        <v>5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</row>
    <row r="14" spans="1:29" x14ac:dyDescent="0.3">
      <c r="A14" s="16"/>
      <c r="B14" s="19"/>
      <c r="C14" s="18"/>
      <c r="D14" s="9" t="s">
        <v>995</v>
      </c>
      <c r="E14" s="1" t="s">
        <v>12</v>
      </c>
      <c r="F14" s="9">
        <v>144</v>
      </c>
      <c r="G14" s="9">
        <v>144</v>
      </c>
      <c r="H14" s="9">
        <v>144</v>
      </c>
      <c r="I14" s="9">
        <v>144</v>
      </c>
      <c r="J14" s="9">
        <v>144</v>
      </c>
      <c r="K14" s="9">
        <v>144</v>
      </c>
      <c r="L14" s="9">
        <v>144</v>
      </c>
      <c r="M14" s="9">
        <v>144</v>
      </c>
      <c r="N14" s="9">
        <v>144</v>
      </c>
      <c r="O14" s="9">
        <v>144</v>
      </c>
      <c r="P14" s="9">
        <v>144</v>
      </c>
      <c r="Q14" s="9">
        <v>144</v>
      </c>
      <c r="R14" s="9">
        <v>144</v>
      </c>
      <c r="S14" s="9">
        <v>144</v>
      </c>
      <c r="T14" s="9">
        <v>144</v>
      </c>
      <c r="U14" s="9">
        <v>144</v>
      </c>
      <c r="V14" s="9">
        <v>144</v>
      </c>
      <c r="W14" s="9">
        <v>144</v>
      </c>
      <c r="X14" s="9">
        <v>144</v>
      </c>
      <c r="Y14" s="9">
        <v>144</v>
      </c>
      <c r="Z14" s="9">
        <v>144</v>
      </c>
      <c r="AA14" s="9">
        <v>144</v>
      </c>
      <c r="AB14" s="9">
        <v>144</v>
      </c>
      <c r="AC14" s="9">
        <v>144</v>
      </c>
    </row>
    <row r="15" spans="1:29" x14ac:dyDescent="0.3">
      <c r="A15" s="16"/>
      <c r="B15" s="19"/>
      <c r="C15" s="18"/>
      <c r="D15" s="9" t="s">
        <v>994</v>
      </c>
      <c r="E15" s="1" t="s">
        <v>12</v>
      </c>
      <c r="F15" s="9">
        <v>144</v>
      </c>
      <c r="G15" s="9">
        <v>144</v>
      </c>
      <c r="H15" s="9">
        <v>144</v>
      </c>
      <c r="I15" s="9">
        <v>144</v>
      </c>
      <c r="J15" s="9">
        <v>144</v>
      </c>
      <c r="K15" s="9">
        <v>144</v>
      </c>
      <c r="L15" s="9">
        <v>144</v>
      </c>
      <c r="M15" s="9">
        <v>144</v>
      </c>
      <c r="N15" s="9">
        <v>144</v>
      </c>
      <c r="O15" s="9">
        <v>144</v>
      </c>
      <c r="P15" s="9">
        <v>144</v>
      </c>
      <c r="Q15" s="9">
        <v>144</v>
      </c>
      <c r="R15" s="9">
        <v>144</v>
      </c>
      <c r="S15" s="9">
        <v>144</v>
      </c>
      <c r="T15" s="9">
        <v>144</v>
      </c>
      <c r="U15" s="9">
        <v>144</v>
      </c>
      <c r="V15" s="9">
        <v>144</v>
      </c>
      <c r="W15" s="9">
        <v>144</v>
      </c>
      <c r="X15" s="9">
        <v>144</v>
      </c>
      <c r="Y15" s="9">
        <v>144</v>
      </c>
      <c r="Z15" s="9">
        <v>144</v>
      </c>
      <c r="AA15" s="9">
        <v>144</v>
      </c>
      <c r="AB15" s="9">
        <v>144</v>
      </c>
      <c r="AC15" s="9">
        <v>144</v>
      </c>
    </row>
    <row r="16" spans="1:29" x14ac:dyDescent="0.3">
      <c r="A16" s="16"/>
      <c r="B16" s="19"/>
      <c r="C16" s="18"/>
      <c r="D16" s="9" t="s">
        <v>993</v>
      </c>
      <c r="E16" s="10" t="s">
        <v>70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9">
        <v>1</v>
      </c>
      <c r="S16" s="9">
        <v>1</v>
      </c>
      <c r="T16" s="9">
        <v>1</v>
      </c>
      <c r="U16" s="9">
        <v>1</v>
      </c>
      <c r="V16" s="9">
        <v>1</v>
      </c>
      <c r="W16" s="9">
        <v>1</v>
      </c>
      <c r="X16" s="9">
        <v>1</v>
      </c>
      <c r="Y16" s="9">
        <v>1</v>
      </c>
      <c r="Z16" s="9">
        <v>1</v>
      </c>
      <c r="AA16" s="9">
        <v>1</v>
      </c>
      <c r="AB16" s="9">
        <v>1</v>
      </c>
      <c r="AC16" s="9">
        <v>1</v>
      </c>
    </row>
    <row r="17" spans="1:29" x14ac:dyDescent="0.3">
      <c r="A17" s="16"/>
      <c r="B17" s="19"/>
      <c r="C17" s="18"/>
      <c r="D17" s="9" t="s">
        <v>992</v>
      </c>
      <c r="E17" s="10" t="s">
        <v>70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9">
        <v>1</v>
      </c>
      <c r="S17" s="9">
        <v>1</v>
      </c>
      <c r="T17" s="9">
        <v>1</v>
      </c>
      <c r="U17" s="9">
        <v>1</v>
      </c>
      <c r="V17" s="9">
        <v>1</v>
      </c>
      <c r="W17" s="9">
        <v>1</v>
      </c>
      <c r="X17" s="9">
        <v>1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</row>
    <row r="18" spans="1:29" x14ac:dyDescent="0.3">
      <c r="A18" s="16"/>
      <c r="B18" s="19"/>
      <c r="C18" s="18"/>
      <c r="D18" s="9" t="s">
        <v>991</v>
      </c>
      <c r="E18" s="10" t="s">
        <v>4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</row>
    <row r="19" spans="1:29" x14ac:dyDescent="0.3">
      <c r="A19" s="16"/>
      <c r="B19" s="19"/>
      <c r="C19" s="17" t="s">
        <v>299</v>
      </c>
      <c r="D19" s="9" t="s">
        <v>144</v>
      </c>
      <c r="E19" s="10" t="s">
        <v>1</v>
      </c>
      <c r="F19" s="9">
        <v>-20</v>
      </c>
      <c r="G19" s="9">
        <v>-20</v>
      </c>
      <c r="H19" s="9">
        <v>-20</v>
      </c>
      <c r="I19" s="9">
        <v>-20</v>
      </c>
      <c r="J19" s="9">
        <v>-20</v>
      </c>
      <c r="K19" s="9">
        <v>-20</v>
      </c>
      <c r="L19" s="9">
        <v>-20</v>
      </c>
      <c r="M19" s="9">
        <v>-20</v>
      </c>
      <c r="N19" s="9">
        <v>-20</v>
      </c>
      <c r="O19" s="9">
        <v>-20</v>
      </c>
      <c r="P19" s="9">
        <v>-20</v>
      </c>
      <c r="Q19" s="9">
        <v>-20</v>
      </c>
      <c r="R19" s="9">
        <v>-20</v>
      </c>
      <c r="S19" s="9">
        <v>-20</v>
      </c>
      <c r="T19" s="9">
        <v>-20</v>
      </c>
      <c r="U19" s="9">
        <v>-20</v>
      </c>
      <c r="V19" s="9">
        <v>-20</v>
      </c>
      <c r="W19" s="9">
        <v>-20</v>
      </c>
      <c r="X19" s="9">
        <v>-20</v>
      </c>
      <c r="Y19" s="9">
        <v>-20</v>
      </c>
      <c r="Z19" s="9">
        <v>-20</v>
      </c>
      <c r="AA19" s="9">
        <v>-20</v>
      </c>
      <c r="AB19" s="9">
        <v>-20</v>
      </c>
      <c r="AC19" s="9">
        <v>-20</v>
      </c>
    </row>
    <row r="20" spans="1:29" x14ac:dyDescent="0.3">
      <c r="A20" s="16"/>
      <c r="B20" s="19"/>
      <c r="C20" s="18"/>
      <c r="D20" s="9" t="s">
        <v>207</v>
      </c>
      <c r="E20" s="10" t="s">
        <v>1</v>
      </c>
      <c r="F20" s="9">
        <v>5</v>
      </c>
      <c r="G20" s="9">
        <v>5</v>
      </c>
      <c r="H20" s="9">
        <v>5</v>
      </c>
      <c r="I20" s="9">
        <v>5</v>
      </c>
      <c r="J20" s="9">
        <v>5</v>
      </c>
      <c r="K20" s="9">
        <v>5</v>
      </c>
      <c r="L20" s="9">
        <v>12</v>
      </c>
      <c r="M20" s="9">
        <v>16</v>
      </c>
      <c r="N20" s="9">
        <v>18</v>
      </c>
      <c r="O20" s="9">
        <v>18</v>
      </c>
      <c r="P20" s="9">
        <v>18</v>
      </c>
      <c r="Q20" s="9">
        <v>18</v>
      </c>
      <c r="R20" s="9">
        <v>18</v>
      </c>
      <c r="S20" s="9">
        <v>18</v>
      </c>
      <c r="T20" s="9">
        <v>18</v>
      </c>
      <c r="U20" s="9">
        <v>18</v>
      </c>
      <c r="V20" s="9">
        <v>18</v>
      </c>
      <c r="W20" s="9">
        <v>18</v>
      </c>
      <c r="X20" s="9">
        <v>18</v>
      </c>
      <c r="Y20" s="9">
        <v>18</v>
      </c>
      <c r="Z20" s="9">
        <v>12</v>
      </c>
      <c r="AA20" s="9">
        <v>5</v>
      </c>
      <c r="AB20" s="9">
        <v>5</v>
      </c>
      <c r="AC20" s="9">
        <v>5</v>
      </c>
    </row>
    <row r="21" spans="1:29" x14ac:dyDescent="0.3">
      <c r="A21" s="16"/>
      <c r="B21" s="19"/>
      <c r="C21" s="18"/>
      <c r="D21" s="9" t="s">
        <v>76</v>
      </c>
      <c r="E21" s="10" t="s">
        <v>1</v>
      </c>
      <c r="F21" s="9">
        <v>5</v>
      </c>
      <c r="G21" s="9">
        <v>5</v>
      </c>
      <c r="H21" s="9">
        <v>5</v>
      </c>
      <c r="I21" s="9">
        <v>5</v>
      </c>
      <c r="J21" s="9">
        <v>5</v>
      </c>
      <c r="K21" s="9">
        <v>5</v>
      </c>
      <c r="L21" s="9">
        <v>12</v>
      </c>
      <c r="M21" s="9">
        <v>16</v>
      </c>
      <c r="N21" s="9">
        <v>18</v>
      </c>
      <c r="O21" s="9">
        <v>18</v>
      </c>
      <c r="P21" s="9">
        <v>18</v>
      </c>
      <c r="Q21" s="9">
        <v>18</v>
      </c>
      <c r="R21" s="9">
        <v>18</v>
      </c>
      <c r="S21" s="9">
        <v>18</v>
      </c>
      <c r="T21" s="9">
        <v>18</v>
      </c>
      <c r="U21" s="9">
        <v>18</v>
      </c>
      <c r="V21" s="9">
        <v>18</v>
      </c>
      <c r="W21" s="9">
        <v>18</v>
      </c>
      <c r="X21" s="9">
        <v>18</v>
      </c>
      <c r="Y21" s="9">
        <v>18</v>
      </c>
      <c r="Z21" s="9">
        <v>12</v>
      </c>
      <c r="AA21" s="9">
        <v>5</v>
      </c>
      <c r="AB21" s="9">
        <v>5</v>
      </c>
      <c r="AC21" s="9">
        <v>5</v>
      </c>
    </row>
    <row r="22" spans="1:29" x14ac:dyDescent="0.3">
      <c r="A22" s="16"/>
      <c r="B22" s="19"/>
      <c r="C22" s="18"/>
      <c r="D22" s="9" t="s">
        <v>77</v>
      </c>
      <c r="E22" s="10" t="s">
        <v>1</v>
      </c>
      <c r="F22" s="9">
        <v>50</v>
      </c>
      <c r="G22" s="9">
        <v>50</v>
      </c>
      <c r="H22" s="9">
        <v>50</v>
      </c>
      <c r="I22" s="9">
        <v>50</v>
      </c>
      <c r="J22" s="9">
        <v>50</v>
      </c>
      <c r="K22" s="9">
        <v>50</v>
      </c>
      <c r="L22" s="9">
        <v>50</v>
      </c>
      <c r="M22" s="9">
        <v>50</v>
      </c>
      <c r="N22" s="9">
        <v>50</v>
      </c>
      <c r="O22" s="9">
        <v>50</v>
      </c>
      <c r="P22" s="9">
        <v>50</v>
      </c>
      <c r="Q22" s="9">
        <v>50</v>
      </c>
      <c r="R22" s="9">
        <v>50</v>
      </c>
      <c r="S22" s="9">
        <v>50</v>
      </c>
      <c r="T22" s="9">
        <v>50</v>
      </c>
      <c r="U22" s="9">
        <v>50</v>
      </c>
      <c r="V22" s="9">
        <v>50</v>
      </c>
      <c r="W22" s="9">
        <v>50</v>
      </c>
      <c r="X22" s="9">
        <v>50</v>
      </c>
      <c r="Y22" s="9">
        <v>50</v>
      </c>
      <c r="Z22" s="9">
        <v>50</v>
      </c>
      <c r="AA22" s="9">
        <v>50</v>
      </c>
      <c r="AB22" s="9">
        <v>50</v>
      </c>
      <c r="AC22" s="9">
        <v>50</v>
      </c>
    </row>
    <row r="23" spans="1:29" x14ac:dyDescent="0.3">
      <c r="A23" s="16"/>
      <c r="B23" s="19"/>
      <c r="C23" s="18"/>
      <c r="D23" s="9" t="s">
        <v>78</v>
      </c>
      <c r="E23" s="10" t="s">
        <v>1</v>
      </c>
      <c r="F23" s="9">
        <v>50</v>
      </c>
      <c r="G23" s="9">
        <v>50</v>
      </c>
      <c r="H23" s="9">
        <v>50</v>
      </c>
      <c r="I23" s="9">
        <v>50</v>
      </c>
      <c r="J23" s="9">
        <v>50</v>
      </c>
      <c r="K23" s="9">
        <v>50</v>
      </c>
      <c r="L23" s="9">
        <v>50</v>
      </c>
      <c r="M23" s="9">
        <v>28</v>
      </c>
      <c r="N23" s="9">
        <v>26</v>
      </c>
      <c r="O23" s="9">
        <v>26</v>
      </c>
      <c r="P23" s="9">
        <v>26</v>
      </c>
      <c r="Q23" s="9">
        <v>26</v>
      </c>
      <c r="R23" s="9">
        <v>26</v>
      </c>
      <c r="S23" s="9">
        <v>26</v>
      </c>
      <c r="T23" s="9">
        <v>26</v>
      </c>
      <c r="U23" s="9">
        <v>26</v>
      </c>
      <c r="V23" s="9">
        <v>26</v>
      </c>
      <c r="W23" s="9">
        <v>26</v>
      </c>
      <c r="X23" s="9">
        <v>26</v>
      </c>
      <c r="Y23" s="9">
        <v>26</v>
      </c>
      <c r="Z23" s="9">
        <v>50</v>
      </c>
      <c r="AA23" s="9">
        <v>50</v>
      </c>
      <c r="AB23" s="9">
        <v>50</v>
      </c>
      <c r="AC23" s="9">
        <v>50</v>
      </c>
    </row>
    <row r="24" spans="1:29" x14ac:dyDescent="0.3">
      <c r="A24" s="16"/>
      <c r="B24" s="19"/>
      <c r="C24" s="18"/>
      <c r="D24" s="9" t="s">
        <v>79</v>
      </c>
      <c r="E24" s="10" t="s">
        <v>1</v>
      </c>
      <c r="F24" s="9">
        <v>50</v>
      </c>
      <c r="G24" s="9">
        <v>50</v>
      </c>
      <c r="H24" s="9">
        <v>50</v>
      </c>
      <c r="I24" s="9">
        <v>50</v>
      </c>
      <c r="J24" s="9">
        <v>50</v>
      </c>
      <c r="K24" s="9">
        <v>50</v>
      </c>
      <c r="L24" s="9">
        <v>50</v>
      </c>
      <c r="M24" s="9">
        <v>28</v>
      </c>
      <c r="N24" s="9">
        <v>26</v>
      </c>
      <c r="O24" s="9">
        <v>26</v>
      </c>
      <c r="P24" s="9">
        <v>26</v>
      </c>
      <c r="Q24" s="9">
        <v>26</v>
      </c>
      <c r="R24" s="9">
        <v>26</v>
      </c>
      <c r="S24" s="9">
        <v>26</v>
      </c>
      <c r="T24" s="9">
        <v>26</v>
      </c>
      <c r="U24" s="9">
        <v>26</v>
      </c>
      <c r="V24" s="9">
        <v>26</v>
      </c>
      <c r="W24" s="9">
        <v>26</v>
      </c>
      <c r="X24" s="9">
        <v>26</v>
      </c>
      <c r="Y24" s="9">
        <v>26</v>
      </c>
      <c r="Z24" s="9">
        <v>50</v>
      </c>
      <c r="AA24" s="9">
        <v>50</v>
      </c>
      <c r="AB24" s="9">
        <v>50</v>
      </c>
      <c r="AC24" s="9">
        <v>50</v>
      </c>
    </row>
    <row r="25" spans="1:29" x14ac:dyDescent="0.3">
      <c r="A25" s="16"/>
      <c r="B25" s="19"/>
      <c r="C25" s="18"/>
      <c r="D25" s="9" t="s">
        <v>80</v>
      </c>
      <c r="E25" s="10" t="s">
        <v>5</v>
      </c>
      <c r="F25" s="9">
        <v>0.1</v>
      </c>
      <c r="G25" s="9">
        <v>0.1</v>
      </c>
      <c r="H25" s="9">
        <v>0.1</v>
      </c>
      <c r="I25" s="9">
        <v>0.1</v>
      </c>
      <c r="J25" s="9">
        <v>0.1</v>
      </c>
      <c r="K25" s="9">
        <v>0.1</v>
      </c>
      <c r="L25" s="9">
        <v>0.1</v>
      </c>
      <c r="M25" s="9">
        <v>0.5</v>
      </c>
      <c r="N25" s="9">
        <v>0.6</v>
      </c>
      <c r="O25" s="9">
        <v>0.6</v>
      </c>
      <c r="P25" s="9">
        <v>0.6</v>
      </c>
      <c r="Q25" s="9">
        <v>0.6</v>
      </c>
      <c r="R25" s="9">
        <v>0.6</v>
      </c>
      <c r="S25" s="9">
        <v>0.6</v>
      </c>
      <c r="T25" s="9">
        <v>0.6</v>
      </c>
      <c r="U25" s="9">
        <v>0.6</v>
      </c>
      <c r="V25" s="9">
        <v>0.8</v>
      </c>
      <c r="W25" s="9">
        <v>0.9</v>
      </c>
      <c r="X25" s="9">
        <v>1</v>
      </c>
      <c r="Y25" s="9">
        <v>1</v>
      </c>
      <c r="Z25" s="9">
        <v>1</v>
      </c>
      <c r="AA25" s="9">
        <v>0.1</v>
      </c>
      <c r="AB25" s="9">
        <v>0.1</v>
      </c>
      <c r="AC25" s="9">
        <v>0.1</v>
      </c>
    </row>
    <row r="26" spans="1:29" x14ac:dyDescent="0.3">
      <c r="A26" s="16"/>
      <c r="B26" s="19"/>
      <c r="C26" s="18"/>
      <c r="D26" s="9" t="s">
        <v>81</v>
      </c>
      <c r="E26" s="10" t="s">
        <v>5</v>
      </c>
      <c r="F26" s="9">
        <v>0.1</v>
      </c>
      <c r="G26" s="9">
        <v>0.1</v>
      </c>
      <c r="H26" s="9">
        <v>0.1</v>
      </c>
      <c r="I26" s="9">
        <v>0.1</v>
      </c>
      <c r="J26" s="9">
        <v>0.1</v>
      </c>
      <c r="K26" s="9">
        <v>0.1</v>
      </c>
      <c r="L26" s="9">
        <v>0.1</v>
      </c>
      <c r="M26" s="9">
        <v>0.5</v>
      </c>
      <c r="N26" s="9">
        <v>0.6</v>
      </c>
      <c r="O26" s="9">
        <v>0.6</v>
      </c>
      <c r="P26" s="9">
        <v>0.6</v>
      </c>
      <c r="Q26" s="9">
        <v>0.6</v>
      </c>
      <c r="R26" s="9">
        <v>0.6</v>
      </c>
      <c r="S26" s="9">
        <v>0.6</v>
      </c>
      <c r="T26" s="9">
        <v>0.6</v>
      </c>
      <c r="U26" s="9">
        <v>0.6</v>
      </c>
      <c r="V26" s="9">
        <v>0.8</v>
      </c>
      <c r="W26" s="9">
        <v>0.9</v>
      </c>
      <c r="X26" s="9">
        <v>1</v>
      </c>
      <c r="Y26" s="9">
        <v>1</v>
      </c>
      <c r="Z26" s="9">
        <v>1</v>
      </c>
      <c r="AA26" s="9">
        <v>0.1</v>
      </c>
      <c r="AB26" s="9">
        <v>0.1</v>
      </c>
      <c r="AC26" s="9">
        <v>0.1</v>
      </c>
    </row>
    <row r="27" spans="1:29" x14ac:dyDescent="0.3">
      <c r="A27" s="16"/>
      <c r="B27" s="19"/>
      <c r="C27" s="18"/>
      <c r="D27" s="9" t="s">
        <v>82</v>
      </c>
      <c r="E27" s="10" t="s">
        <v>5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0.3</v>
      </c>
      <c r="N27" s="9">
        <v>0.5</v>
      </c>
      <c r="O27" s="9">
        <v>0.8</v>
      </c>
      <c r="P27" s="9">
        <v>0.8</v>
      </c>
      <c r="Q27" s="9">
        <v>0.8</v>
      </c>
      <c r="R27" s="9">
        <v>0.8</v>
      </c>
      <c r="S27" s="9">
        <v>0.8</v>
      </c>
      <c r="T27" s="9">
        <v>0.8</v>
      </c>
      <c r="U27" s="9">
        <v>0.8</v>
      </c>
      <c r="V27" s="9">
        <v>0.8</v>
      </c>
      <c r="W27" s="9">
        <v>0.8</v>
      </c>
      <c r="X27" s="9">
        <v>0.8</v>
      </c>
      <c r="Y27" s="9">
        <v>0.7</v>
      </c>
      <c r="Z27" s="9">
        <v>0.5</v>
      </c>
      <c r="AA27" s="9">
        <v>0</v>
      </c>
      <c r="AB27" s="9">
        <v>0</v>
      </c>
      <c r="AC27" s="9">
        <v>0</v>
      </c>
    </row>
    <row r="28" spans="1:29" x14ac:dyDescent="0.3">
      <c r="A28" s="16"/>
      <c r="B28" s="19"/>
      <c r="C28" s="18"/>
      <c r="D28" s="9" t="s">
        <v>83</v>
      </c>
      <c r="E28" s="10" t="s">
        <v>5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0.3</v>
      </c>
      <c r="N28" s="9">
        <v>0.5</v>
      </c>
      <c r="O28" s="9">
        <v>0.8</v>
      </c>
      <c r="P28" s="9">
        <v>0.8</v>
      </c>
      <c r="Q28" s="9">
        <v>0.8</v>
      </c>
      <c r="R28" s="9">
        <v>0.8</v>
      </c>
      <c r="S28" s="9">
        <v>0.8</v>
      </c>
      <c r="T28" s="9">
        <v>0.8</v>
      </c>
      <c r="U28" s="9">
        <v>0.8</v>
      </c>
      <c r="V28" s="9">
        <v>0.8</v>
      </c>
      <c r="W28" s="9">
        <v>0.8</v>
      </c>
      <c r="X28" s="9">
        <v>0.8</v>
      </c>
      <c r="Y28" s="9">
        <v>0.7</v>
      </c>
      <c r="Z28" s="9">
        <v>0.5</v>
      </c>
      <c r="AA28" s="9">
        <v>0</v>
      </c>
      <c r="AB28" s="9">
        <v>0</v>
      </c>
      <c r="AC28" s="9">
        <v>0</v>
      </c>
    </row>
    <row r="29" spans="1:29" x14ac:dyDescent="0.3">
      <c r="A29" s="16"/>
      <c r="B29" s="19"/>
      <c r="C29" s="18"/>
      <c r="D29" s="9" t="s">
        <v>84</v>
      </c>
      <c r="E29" s="10" t="s">
        <v>5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0.2</v>
      </c>
      <c r="N29" s="9">
        <v>0.5</v>
      </c>
      <c r="O29" s="9">
        <v>0.8</v>
      </c>
      <c r="P29" s="9">
        <v>0.8</v>
      </c>
      <c r="Q29" s="9">
        <v>0.8</v>
      </c>
      <c r="R29" s="9">
        <v>0.8</v>
      </c>
      <c r="S29" s="9">
        <v>0.8</v>
      </c>
      <c r="T29" s="9">
        <v>0.8</v>
      </c>
      <c r="U29" s="9">
        <v>0.8</v>
      </c>
      <c r="V29" s="9">
        <v>0.8</v>
      </c>
      <c r="W29" s="9">
        <v>0.8</v>
      </c>
      <c r="X29" s="9">
        <v>0.8</v>
      </c>
      <c r="Y29" s="9">
        <v>0.7</v>
      </c>
      <c r="Z29" s="9">
        <v>0.5</v>
      </c>
      <c r="AA29" s="9">
        <v>0</v>
      </c>
      <c r="AB29" s="9">
        <v>0</v>
      </c>
      <c r="AC29" s="9">
        <v>0</v>
      </c>
    </row>
    <row r="30" spans="1:29" x14ac:dyDescent="0.3">
      <c r="A30" s="16"/>
      <c r="B30" s="19"/>
      <c r="C30" s="18"/>
      <c r="D30" s="9" t="s">
        <v>361</v>
      </c>
      <c r="E30" s="10" t="s">
        <v>5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0.2</v>
      </c>
      <c r="N30" s="9">
        <v>0.5</v>
      </c>
      <c r="O30" s="9">
        <v>0.8</v>
      </c>
      <c r="P30" s="9">
        <v>0.8</v>
      </c>
      <c r="Q30" s="9">
        <v>0.8</v>
      </c>
      <c r="R30" s="9">
        <v>0.8</v>
      </c>
      <c r="S30" s="9">
        <v>0.8</v>
      </c>
      <c r="T30" s="9">
        <v>0.8</v>
      </c>
      <c r="U30" s="9">
        <v>0.8</v>
      </c>
      <c r="V30" s="9">
        <v>0.8</v>
      </c>
      <c r="W30" s="9">
        <v>0.8</v>
      </c>
      <c r="X30" s="9">
        <v>0.8</v>
      </c>
      <c r="Y30" s="9">
        <v>0.7</v>
      </c>
      <c r="Z30" s="9">
        <v>0.5</v>
      </c>
      <c r="AA30" s="9">
        <v>0</v>
      </c>
      <c r="AB30" s="9">
        <v>0</v>
      </c>
      <c r="AC30" s="9">
        <v>0</v>
      </c>
    </row>
    <row r="31" spans="1:29" x14ac:dyDescent="0.3">
      <c r="A31" s="16"/>
      <c r="B31" s="19"/>
      <c r="C31" s="18"/>
      <c r="D31" s="9" t="s">
        <v>362</v>
      </c>
      <c r="E31" s="1" t="s">
        <v>12</v>
      </c>
      <c r="F31" s="9">
        <v>207</v>
      </c>
      <c r="G31" s="9">
        <v>207</v>
      </c>
      <c r="H31" s="9">
        <v>207</v>
      </c>
      <c r="I31" s="9">
        <v>207</v>
      </c>
      <c r="J31" s="9">
        <v>207</v>
      </c>
      <c r="K31" s="9">
        <v>207</v>
      </c>
      <c r="L31" s="9">
        <v>207</v>
      </c>
      <c r="M31" s="9">
        <v>207</v>
      </c>
      <c r="N31" s="9">
        <v>207</v>
      </c>
      <c r="O31" s="9">
        <v>207</v>
      </c>
      <c r="P31" s="9">
        <v>207</v>
      </c>
      <c r="Q31" s="9">
        <v>207</v>
      </c>
      <c r="R31" s="9">
        <v>207</v>
      </c>
      <c r="S31" s="9">
        <v>207</v>
      </c>
      <c r="T31" s="9">
        <v>207</v>
      </c>
      <c r="U31" s="9">
        <v>207</v>
      </c>
      <c r="V31" s="9">
        <v>207</v>
      </c>
      <c r="W31" s="9">
        <v>207</v>
      </c>
      <c r="X31" s="9">
        <v>207</v>
      </c>
      <c r="Y31" s="9">
        <v>207</v>
      </c>
      <c r="Z31" s="9">
        <v>207</v>
      </c>
      <c r="AA31" s="9">
        <v>207</v>
      </c>
      <c r="AB31" s="9">
        <v>207</v>
      </c>
      <c r="AC31" s="9">
        <v>207</v>
      </c>
    </row>
    <row r="32" spans="1:29" x14ac:dyDescent="0.3">
      <c r="A32" s="16"/>
      <c r="B32" s="19"/>
      <c r="C32" s="18"/>
      <c r="D32" s="9" t="s">
        <v>363</v>
      </c>
      <c r="E32" s="1" t="s">
        <v>12</v>
      </c>
      <c r="F32" s="9">
        <v>207</v>
      </c>
      <c r="G32" s="9">
        <v>207</v>
      </c>
      <c r="H32" s="9">
        <v>207</v>
      </c>
      <c r="I32" s="9">
        <v>207</v>
      </c>
      <c r="J32" s="9">
        <v>207</v>
      </c>
      <c r="K32" s="9">
        <v>207</v>
      </c>
      <c r="L32" s="9">
        <v>207</v>
      </c>
      <c r="M32" s="9">
        <v>207</v>
      </c>
      <c r="N32" s="9">
        <v>207</v>
      </c>
      <c r="O32" s="9">
        <v>207</v>
      </c>
      <c r="P32" s="9">
        <v>207</v>
      </c>
      <c r="Q32" s="9">
        <v>207</v>
      </c>
      <c r="R32" s="9">
        <v>207</v>
      </c>
      <c r="S32" s="9">
        <v>207</v>
      </c>
      <c r="T32" s="9">
        <v>207</v>
      </c>
      <c r="U32" s="9">
        <v>207</v>
      </c>
      <c r="V32" s="9">
        <v>207</v>
      </c>
      <c r="W32" s="9">
        <v>207</v>
      </c>
      <c r="X32" s="9">
        <v>207</v>
      </c>
      <c r="Y32" s="9">
        <v>207</v>
      </c>
      <c r="Z32" s="9">
        <v>207</v>
      </c>
      <c r="AA32" s="9">
        <v>207</v>
      </c>
      <c r="AB32" s="9">
        <v>207</v>
      </c>
      <c r="AC32" s="9">
        <v>207</v>
      </c>
    </row>
    <row r="33" spans="1:29" x14ac:dyDescent="0.3">
      <c r="A33" s="16"/>
      <c r="B33" s="19"/>
      <c r="C33" s="18"/>
      <c r="D33" s="9" t="s">
        <v>86</v>
      </c>
      <c r="E33" s="10" t="s">
        <v>4</v>
      </c>
      <c r="F33" s="9">
        <v>1</v>
      </c>
      <c r="G33" s="9">
        <v>1</v>
      </c>
      <c r="H33" s="9">
        <v>1</v>
      </c>
      <c r="I33" s="9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9">
        <v>1</v>
      </c>
      <c r="Q33" s="9">
        <v>1</v>
      </c>
      <c r="R33" s="9">
        <v>1</v>
      </c>
      <c r="S33" s="9">
        <v>1</v>
      </c>
      <c r="T33" s="9">
        <v>1</v>
      </c>
      <c r="U33" s="9">
        <v>1</v>
      </c>
      <c r="V33" s="9">
        <v>1</v>
      </c>
      <c r="W33" s="9">
        <v>1</v>
      </c>
      <c r="X33" s="9">
        <v>1</v>
      </c>
      <c r="Y33" s="9">
        <v>1</v>
      </c>
      <c r="Z33" s="9">
        <v>1</v>
      </c>
      <c r="AA33" s="9">
        <v>1</v>
      </c>
      <c r="AB33" s="9">
        <v>1</v>
      </c>
      <c r="AC33" s="9">
        <v>1</v>
      </c>
    </row>
    <row r="34" spans="1:29" x14ac:dyDescent="0.3">
      <c r="A34" s="16"/>
      <c r="B34" s="19"/>
      <c r="C34" s="18"/>
      <c r="D34" s="9" t="s">
        <v>142</v>
      </c>
      <c r="E34" s="10" t="s">
        <v>70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9">
        <v>1</v>
      </c>
      <c r="Q34" s="9">
        <v>1</v>
      </c>
      <c r="R34" s="9">
        <v>1</v>
      </c>
      <c r="S34" s="9">
        <v>1</v>
      </c>
      <c r="T34" s="9">
        <v>1</v>
      </c>
      <c r="U34" s="9">
        <v>1</v>
      </c>
      <c r="V34" s="9">
        <v>1</v>
      </c>
      <c r="W34" s="9">
        <v>1</v>
      </c>
      <c r="X34" s="9">
        <v>1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</row>
    <row r="35" spans="1:29" x14ac:dyDescent="0.3">
      <c r="A35" s="16"/>
      <c r="B35" s="19"/>
      <c r="C35" s="18"/>
      <c r="D35" s="9" t="s">
        <v>140</v>
      </c>
      <c r="E35" s="10" t="s">
        <v>4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9">
        <v>1</v>
      </c>
      <c r="P35" s="9">
        <v>1</v>
      </c>
      <c r="Q35" s="9">
        <v>1</v>
      </c>
      <c r="R35" s="9">
        <v>1</v>
      </c>
      <c r="S35" s="9">
        <v>1</v>
      </c>
      <c r="T35" s="9">
        <v>1</v>
      </c>
      <c r="U35" s="9">
        <v>1</v>
      </c>
      <c r="V35" s="9">
        <v>1</v>
      </c>
      <c r="W35" s="9">
        <v>1</v>
      </c>
      <c r="X35" s="9">
        <v>1</v>
      </c>
      <c r="Y35" s="9">
        <v>1</v>
      </c>
      <c r="Z35" s="9">
        <v>1</v>
      </c>
      <c r="AA35" s="9">
        <v>1</v>
      </c>
      <c r="AB35" s="9">
        <v>1</v>
      </c>
      <c r="AC35" s="9">
        <v>1</v>
      </c>
    </row>
    <row r="36" spans="1:29" x14ac:dyDescent="0.3">
      <c r="A36" s="16"/>
      <c r="B36" s="19"/>
      <c r="C36" s="17" t="s">
        <v>298</v>
      </c>
      <c r="D36" s="9" t="s">
        <v>87</v>
      </c>
      <c r="E36" s="10" t="s">
        <v>1</v>
      </c>
      <c r="F36" s="9">
        <v>-20</v>
      </c>
      <c r="G36" s="9">
        <v>-20</v>
      </c>
      <c r="H36" s="9">
        <v>-20</v>
      </c>
      <c r="I36" s="9">
        <v>-20</v>
      </c>
      <c r="J36" s="9">
        <v>-20</v>
      </c>
      <c r="K36" s="9">
        <v>-20</v>
      </c>
      <c r="L36" s="9">
        <v>-20</v>
      </c>
      <c r="M36" s="9">
        <v>-20</v>
      </c>
      <c r="N36" s="9">
        <v>-20</v>
      </c>
      <c r="O36" s="9">
        <v>-20</v>
      </c>
      <c r="P36" s="9">
        <v>-20</v>
      </c>
      <c r="Q36" s="9">
        <v>-20</v>
      </c>
      <c r="R36" s="9">
        <v>-20</v>
      </c>
      <c r="S36" s="9">
        <v>-20</v>
      </c>
      <c r="T36" s="9">
        <v>-20</v>
      </c>
      <c r="U36" s="9">
        <v>-20</v>
      </c>
      <c r="V36" s="9">
        <v>-20</v>
      </c>
      <c r="W36" s="9">
        <v>-20</v>
      </c>
      <c r="X36" s="9">
        <v>-20</v>
      </c>
      <c r="Y36" s="9">
        <v>-20</v>
      </c>
      <c r="Z36" s="9">
        <v>-20</v>
      </c>
      <c r="AA36" s="9">
        <v>-20</v>
      </c>
      <c r="AB36" s="9">
        <v>-20</v>
      </c>
      <c r="AC36" s="9">
        <v>-20</v>
      </c>
    </row>
    <row r="37" spans="1:29" x14ac:dyDescent="0.3">
      <c r="A37" s="16"/>
      <c r="B37" s="19"/>
      <c r="C37" s="18"/>
      <c r="D37" s="9" t="s">
        <v>162</v>
      </c>
      <c r="E37" s="10" t="s">
        <v>1</v>
      </c>
      <c r="F37" s="9">
        <v>18</v>
      </c>
      <c r="G37" s="9">
        <v>18</v>
      </c>
      <c r="H37" s="9">
        <v>18</v>
      </c>
      <c r="I37" s="9">
        <v>18</v>
      </c>
      <c r="J37" s="9">
        <v>18</v>
      </c>
      <c r="K37" s="9">
        <v>18</v>
      </c>
      <c r="L37" s="9">
        <v>18</v>
      </c>
      <c r="M37" s="9">
        <v>-20</v>
      </c>
      <c r="N37" s="9">
        <v>-20</v>
      </c>
      <c r="O37" s="9">
        <v>-20</v>
      </c>
      <c r="P37" s="9">
        <v>-20</v>
      </c>
      <c r="Q37" s="9">
        <v>-20</v>
      </c>
      <c r="R37" s="9">
        <v>-20</v>
      </c>
      <c r="S37" s="9">
        <v>-20</v>
      </c>
      <c r="T37" s="9">
        <v>-20</v>
      </c>
      <c r="U37" s="9">
        <v>-20</v>
      </c>
      <c r="V37" s="9">
        <v>-20</v>
      </c>
      <c r="W37" s="9">
        <v>-20</v>
      </c>
      <c r="X37" s="9">
        <v>-20</v>
      </c>
      <c r="Y37" s="9">
        <v>-20</v>
      </c>
      <c r="Z37" s="9">
        <v>18</v>
      </c>
      <c r="AA37" s="9">
        <v>18</v>
      </c>
      <c r="AB37" s="9">
        <v>18</v>
      </c>
      <c r="AC37" s="9">
        <v>18</v>
      </c>
    </row>
    <row r="38" spans="1:29" x14ac:dyDescent="0.3">
      <c r="A38" s="16"/>
      <c r="B38" s="19"/>
      <c r="C38" s="18"/>
      <c r="D38" s="9" t="s">
        <v>89</v>
      </c>
      <c r="E38" s="10" t="s">
        <v>1</v>
      </c>
      <c r="F38" s="9">
        <v>18</v>
      </c>
      <c r="G38" s="9">
        <v>18</v>
      </c>
      <c r="H38" s="9">
        <v>18</v>
      </c>
      <c r="I38" s="9">
        <v>18</v>
      </c>
      <c r="J38" s="9">
        <v>18</v>
      </c>
      <c r="K38" s="9">
        <v>18</v>
      </c>
      <c r="L38" s="9">
        <v>18</v>
      </c>
      <c r="M38" s="9">
        <v>-20</v>
      </c>
      <c r="N38" s="9">
        <v>-20</v>
      </c>
      <c r="O38" s="9">
        <v>-20</v>
      </c>
      <c r="P38" s="9">
        <v>-20</v>
      </c>
      <c r="Q38" s="9">
        <v>-20</v>
      </c>
      <c r="R38" s="9">
        <v>-20</v>
      </c>
      <c r="S38" s="9">
        <v>-20</v>
      </c>
      <c r="T38" s="9">
        <v>-20</v>
      </c>
      <c r="U38" s="9">
        <v>-20</v>
      </c>
      <c r="V38" s="9">
        <v>-20</v>
      </c>
      <c r="W38" s="9">
        <v>-20</v>
      </c>
      <c r="X38" s="9">
        <v>-20</v>
      </c>
      <c r="Y38" s="9">
        <v>-20</v>
      </c>
      <c r="Z38" s="9">
        <v>18</v>
      </c>
      <c r="AA38" s="9">
        <v>18</v>
      </c>
      <c r="AB38" s="9">
        <v>18</v>
      </c>
      <c r="AC38" s="9">
        <v>18</v>
      </c>
    </row>
    <row r="39" spans="1:29" x14ac:dyDescent="0.3">
      <c r="A39" s="16"/>
      <c r="B39" s="19"/>
      <c r="C39" s="18"/>
      <c r="D39" s="9" t="s">
        <v>90</v>
      </c>
      <c r="E39" s="10" t="s">
        <v>1</v>
      </c>
      <c r="F39" s="9">
        <v>50</v>
      </c>
      <c r="G39" s="9">
        <v>50</v>
      </c>
      <c r="H39" s="9">
        <v>50</v>
      </c>
      <c r="I39" s="9">
        <v>50</v>
      </c>
      <c r="J39" s="9">
        <v>50</v>
      </c>
      <c r="K39" s="9">
        <v>50</v>
      </c>
      <c r="L39" s="9">
        <v>50</v>
      </c>
      <c r="M39" s="9">
        <v>50</v>
      </c>
      <c r="N39" s="9">
        <v>50</v>
      </c>
      <c r="O39" s="9">
        <v>50</v>
      </c>
      <c r="P39" s="9">
        <v>50</v>
      </c>
      <c r="Q39" s="9">
        <v>50</v>
      </c>
      <c r="R39" s="9">
        <v>50</v>
      </c>
      <c r="S39" s="9">
        <v>50</v>
      </c>
      <c r="T39" s="9">
        <v>50</v>
      </c>
      <c r="U39" s="9">
        <v>50</v>
      </c>
      <c r="V39" s="9">
        <v>50</v>
      </c>
      <c r="W39" s="9">
        <v>50</v>
      </c>
      <c r="X39" s="9">
        <v>50</v>
      </c>
      <c r="Y39" s="9">
        <v>50</v>
      </c>
      <c r="Z39" s="9">
        <v>50</v>
      </c>
      <c r="AA39" s="9">
        <v>50</v>
      </c>
      <c r="AB39" s="9">
        <v>50</v>
      </c>
      <c r="AC39" s="9">
        <v>50</v>
      </c>
    </row>
    <row r="40" spans="1:29" x14ac:dyDescent="0.3">
      <c r="A40" s="16"/>
      <c r="B40" s="19"/>
      <c r="C40" s="18"/>
      <c r="D40" s="9" t="s">
        <v>154</v>
      </c>
      <c r="E40" s="10" t="s">
        <v>1</v>
      </c>
      <c r="F40" s="9">
        <v>26</v>
      </c>
      <c r="G40" s="9">
        <v>26</v>
      </c>
      <c r="H40" s="9">
        <v>26</v>
      </c>
      <c r="I40" s="9">
        <v>26</v>
      </c>
      <c r="J40" s="9">
        <v>26</v>
      </c>
      <c r="K40" s="9">
        <v>26</v>
      </c>
      <c r="L40" s="9">
        <v>26</v>
      </c>
      <c r="M40" s="9">
        <v>50</v>
      </c>
      <c r="N40" s="9">
        <v>50</v>
      </c>
      <c r="O40" s="9">
        <v>50</v>
      </c>
      <c r="P40" s="9">
        <v>50</v>
      </c>
      <c r="Q40" s="9">
        <v>50</v>
      </c>
      <c r="R40" s="9">
        <v>50</v>
      </c>
      <c r="S40" s="9">
        <v>50</v>
      </c>
      <c r="T40" s="9">
        <v>50</v>
      </c>
      <c r="U40" s="9">
        <v>50</v>
      </c>
      <c r="V40" s="9">
        <v>50</v>
      </c>
      <c r="W40" s="9">
        <v>50</v>
      </c>
      <c r="X40" s="9">
        <v>50</v>
      </c>
      <c r="Y40" s="9">
        <v>50</v>
      </c>
      <c r="Z40" s="9">
        <v>26</v>
      </c>
      <c r="AA40" s="9">
        <v>26</v>
      </c>
      <c r="AB40" s="9">
        <v>26</v>
      </c>
      <c r="AC40" s="9">
        <v>26</v>
      </c>
    </row>
    <row r="41" spans="1:29" x14ac:dyDescent="0.3">
      <c r="A41" s="16"/>
      <c r="B41" s="19"/>
      <c r="C41" s="18"/>
      <c r="D41" s="9" t="s">
        <v>212</v>
      </c>
      <c r="E41" s="10" t="s">
        <v>1</v>
      </c>
      <c r="F41" s="9">
        <v>26</v>
      </c>
      <c r="G41" s="9">
        <v>26</v>
      </c>
      <c r="H41" s="9">
        <v>26</v>
      </c>
      <c r="I41" s="9">
        <v>26</v>
      </c>
      <c r="J41" s="9">
        <v>26</v>
      </c>
      <c r="K41" s="9">
        <v>26</v>
      </c>
      <c r="L41" s="9">
        <v>26</v>
      </c>
      <c r="M41" s="9">
        <v>50</v>
      </c>
      <c r="N41" s="9">
        <v>50</v>
      </c>
      <c r="O41" s="9">
        <v>50</v>
      </c>
      <c r="P41" s="9">
        <v>50</v>
      </c>
      <c r="Q41" s="9">
        <v>50</v>
      </c>
      <c r="R41" s="9">
        <v>50</v>
      </c>
      <c r="S41" s="9">
        <v>50</v>
      </c>
      <c r="T41" s="9">
        <v>50</v>
      </c>
      <c r="U41" s="9">
        <v>50</v>
      </c>
      <c r="V41" s="9">
        <v>50</v>
      </c>
      <c r="W41" s="9">
        <v>50</v>
      </c>
      <c r="X41" s="9">
        <v>50</v>
      </c>
      <c r="Y41" s="9">
        <v>50</v>
      </c>
      <c r="Z41" s="9">
        <v>26</v>
      </c>
      <c r="AA41" s="9">
        <v>26</v>
      </c>
      <c r="AB41" s="9">
        <v>26</v>
      </c>
      <c r="AC41" s="9">
        <v>26</v>
      </c>
    </row>
    <row r="42" spans="1:29" x14ac:dyDescent="0.3">
      <c r="A42" s="16"/>
      <c r="B42" s="19"/>
      <c r="C42" s="18"/>
      <c r="D42" s="9" t="s">
        <v>93</v>
      </c>
      <c r="E42" s="10" t="s">
        <v>5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1</v>
      </c>
      <c r="L42" s="9">
        <v>0.5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1</v>
      </c>
      <c r="Y42" s="9">
        <v>1</v>
      </c>
      <c r="Z42" s="9">
        <v>1</v>
      </c>
      <c r="AA42" s="9">
        <v>1</v>
      </c>
      <c r="AB42" s="9">
        <v>0</v>
      </c>
      <c r="AC42" s="9">
        <v>0</v>
      </c>
    </row>
    <row r="43" spans="1:29" x14ac:dyDescent="0.3">
      <c r="A43" s="16"/>
      <c r="B43" s="19"/>
      <c r="C43" s="18"/>
      <c r="D43" s="9" t="s">
        <v>94</v>
      </c>
      <c r="E43" s="10" t="s">
        <v>5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1</v>
      </c>
      <c r="L43" s="9">
        <v>0.5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1</v>
      </c>
      <c r="Y43" s="9">
        <v>1</v>
      </c>
      <c r="Z43" s="9">
        <v>1</v>
      </c>
      <c r="AA43" s="9">
        <v>1</v>
      </c>
      <c r="AB43" s="9">
        <v>0</v>
      </c>
      <c r="AC43" s="9">
        <v>0</v>
      </c>
    </row>
    <row r="44" spans="1:29" x14ac:dyDescent="0.3">
      <c r="A44" s="16"/>
      <c r="B44" s="19"/>
      <c r="C44" s="18"/>
      <c r="D44" s="9" t="s">
        <v>95</v>
      </c>
      <c r="E44" s="10" t="s">
        <v>5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1</v>
      </c>
      <c r="M44" s="9">
        <v>1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1</v>
      </c>
      <c r="AA44" s="9">
        <v>1</v>
      </c>
      <c r="AB44" s="9">
        <v>0</v>
      </c>
      <c r="AC44" s="9">
        <v>0</v>
      </c>
    </row>
    <row r="45" spans="1:29" x14ac:dyDescent="0.3">
      <c r="A45" s="16"/>
      <c r="B45" s="19"/>
      <c r="C45" s="18"/>
      <c r="D45" s="9" t="s">
        <v>96</v>
      </c>
      <c r="E45" s="10" t="s">
        <v>5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0.75</v>
      </c>
      <c r="M45" s="9">
        <v>1</v>
      </c>
      <c r="N45" s="9">
        <v>0.5</v>
      </c>
      <c r="O45" s="9">
        <v>0.25</v>
      </c>
      <c r="P45" s="9">
        <v>0.25</v>
      </c>
      <c r="Q45" s="9">
        <v>0.5</v>
      </c>
      <c r="R45" s="9">
        <v>0.5</v>
      </c>
      <c r="S45" s="9">
        <v>0.25</v>
      </c>
      <c r="T45" s="9">
        <v>0.25</v>
      </c>
      <c r="U45" s="9">
        <v>0.25</v>
      </c>
      <c r="V45" s="9">
        <v>0.25</v>
      </c>
      <c r="W45" s="9">
        <v>0.5</v>
      </c>
      <c r="X45" s="9">
        <v>0.5</v>
      </c>
      <c r="Y45" s="9">
        <v>0.5</v>
      </c>
      <c r="Z45" s="9">
        <v>0.75</v>
      </c>
      <c r="AA45" s="9">
        <v>0.5</v>
      </c>
      <c r="AB45" s="9">
        <v>0</v>
      </c>
      <c r="AC45" s="9">
        <v>0</v>
      </c>
    </row>
    <row r="46" spans="1:29" x14ac:dyDescent="0.3">
      <c r="A46" s="16"/>
      <c r="B46" s="19"/>
      <c r="C46" s="18"/>
      <c r="D46" s="9" t="s">
        <v>97</v>
      </c>
      <c r="E46" s="10" t="s">
        <v>5</v>
      </c>
      <c r="F46" s="9">
        <v>1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0.5</v>
      </c>
      <c r="M46" s="9">
        <v>0.5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0.5</v>
      </c>
      <c r="AA46" s="9">
        <v>1</v>
      </c>
      <c r="AB46" s="9">
        <v>1</v>
      </c>
      <c r="AC46" s="9">
        <v>1</v>
      </c>
    </row>
    <row r="47" spans="1:29" x14ac:dyDescent="0.3">
      <c r="A47" s="16"/>
      <c r="B47" s="19"/>
      <c r="C47" s="18"/>
      <c r="D47" s="9" t="s">
        <v>364</v>
      </c>
      <c r="E47" s="10" t="s">
        <v>5</v>
      </c>
      <c r="F47" s="9">
        <v>0.5</v>
      </c>
      <c r="G47" s="9">
        <v>0.5</v>
      </c>
      <c r="H47" s="9">
        <v>0.5</v>
      </c>
      <c r="I47" s="9">
        <v>0.5</v>
      </c>
      <c r="J47" s="9">
        <v>0.5</v>
      </c>
      <c r="K47" s="9">
        <v>0.5</v>
      </c>
      <c r="L47" s="9">
        <v>0.5</v>
      </c>
      <c r="M47" s="9">
        <v>0.5</v>
      </c>
      <c r="N47" s="9">
        <v>0.5</v>
      </c>
      <c r="O47" s="9">
        <v>0.5</v>
      </c>
      <c r="P47" s="9">
        <v>0.5</v>
      </c>
      <c r="Q47" s="9">
        <v>0.5</v>
      </c>
      <c r="R47" s="9">
        <v>0.5</v>
      </c>
      <c r="S47" s="9">
        <v>0.5</v>
      </c>
      <c r="T47" s="9">
        <v>0.5</v>
      </c>
      <c r="U47" s="9">
        <v>0.5</v>
      </c>
      <c r="V47" s="9">
        <v>0.5</v>
      </c>
      <c r="W47" s="9">
        <v>0.5</v>
      </c>
      <c r="X47" s="9">
        <v>0.5</v>
      </c>
      <c r="Y47" s="9">
        <v>0.5</v>
      </c>
      <c r="Z47" s="9">
        <v>0.5</v>
      </c>
      <c r="AA47" s="9">
        <v>0.5</v>
      </c>
      <c r="AB47" s="9">
        <v>0.5</v>
      </c>
      <c r="AC47" s="9">
        <v>0.5</v>
      </c>
    </row>
    <row r="48" spans="1:29" x14ac:dyDescent="0.3">
      <c r="A48" s="16"/>
      <c r="B48" s="19"/>
      <c r="C48" s="18"/>
      <c r="D48" s="9" t="s">
        <v>365</v>
      </c>
      <c r="E48" s="1" t="s">
        <v>12</v>
      </c>
      <c r="F48" s="9">
        <v>108</v>
      </c>
      <c r="G48" s="9">
        <v>108</v>
      </c>
      <c r="H48" s="9">
        <v>108</v>
      </c>
      <c r="I48" s="9">
        <v>108</v>
      </c>
      <c r="J48" s="9">
        <v>108</v>
      </c>
      <c r="K48" s="9">
        <v>108</v>
      </c>
      <c r="L48" s="9">
        <v>108</v>
      </c>
      <c r="M48" s="9">
        <v>108</v>
      </c>
      <c r="N48" s="9">
        <v>108</v>
      </c>
      <c r="O48" s="9">
        <v>108</v>
      </c>
      <c r="P48" s="9">
        <v>108</v>
      </c>
      <c r="Q48" s="9">
        <v>108</v>
      </c>
      <c r="R48" s="9">
        <v>108</v>
      </c>
      <c r="S48" s="9">
        <v>108</v>
      </c>
      <c r="T48" s="9">
        <v>108</v>
      </c>
      <c r="U48" s="9">
        <v>108</v>
      </c>
      <c r="V48" s="9">
        <v>108</v>
      </c>
      <c r="W48" s="9">
        <v>108</v>
      </c>
      <c r="X48" s="9">
        <v>108</v>
      </c>
      <c r="Y48" s="9">
        <v>108</v>
      </c>
      <c r="Z48" s="9">
        <v>108</v>
      </c>
      <c r="AA48" s="9">
        <v>108</v>
      </c>
      <c r="AB48" s="9">
        <v>108</v>
      </c>
      <c r="AC48" s="9">
        <v>108</v>
      </c>
    </row>
    <row r="49" spans="1:29" x14ac:dyDescent="0.3">
      <c r="A49" s="16"/>
      <c r="B49" s="19"/>
      <c r="C49" s="18"/>
      <c r="D49" s="9" t="s">
        <v>366</v>
      </c>
      <c r="E49" s="1" t="s">
        <v>12</v>
      </c>
      <c r="F49" s="9">
        <v>108</v>
      </c>
      <c r="G49" s="9">
        <v>108</v>
      </c>
      <c r="H49" s="9">
        <v>108</v>
      </c>
      <c r="I49" s="9">
        <v>108</v>
      </c>
      <c r="J49" s="9">
        <v>108</v>
      </c>
      <c r="K49" s="9">
        <v>108</v>
      </c>
      <c r="L49" s="9">
        <v>108</v>
      </c>
      <c r="M49" s="9">
        <v>108</v>
      </c>
      <c r="N49" s="9">
        <v>108</v>
      </c>
      <c r="O49" s="9">
        <v>108</v>
      </c>
      <c r="P49" s="9">
        <v>108</v>
      </c>
      <c r="Q49" s="9">
        <v>108</v>
      </c>
      <c r="R49" s="9">
        <v>108</v>
      </c>
      <c r="S49" s="9">
        <v>108</v>
      </c>
      <c r="T49" s="9">
        <v>108</v>
      </c>
      <c r="U49" s="9">
        <v>108</v>
      </c>
      <c r="V49" s="9">
        <v>108</v>
      </c>
      <c r="W49" s="9">
        <v>108</v>
      </c>
      <c r="X49" s="9">
        <v>108</v>
      </c>
      <c r="Y49" s="9">
        <v>108</v>
      </c>
      <c r="Z49" s="9">
        <v>108</v>
      </c>
      <c r="AA49" s="9">
        <v>108</v>
      </c>
      <c r="AB49" s="9">
        <v>108</v>
      </c>
      <c r="AC49" s="9">
        <v>108</v>
      </c>
    </row>
    <row r="50" spans="1:29" x14ac:dyDescent="0.3">
      <c r="A50" s="16"/>
      <c r="B50" s="19"/>
      <c r="C50" s="18"/>
      <c r="D50" s="9" t="s">
        <v>99</v>
      </c>
      <c r="E50" s="10" t="s">
        <v>4</v>
      </c>
      <c r="F50" s="9">
        <v>1</v>
      </c>
      <c r="G50" s="9">
        <v>1</v>
      </c>
      <c r="H50" s="9">
        <v>1</v>
      </c>
      <c r="I50" s="9">
        <v>1</v>
      </c>
      <c r="J50" s="9">
        <v>1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9">
        <v>1</v>
      </c>
      <c r="T50" s="9">
        <v>1</v>
      </c>
      <c r="U50" s="9">
        <v>1</v>
      </c>
      <c r="V50" s="9">
        <v>1</v>
      </c>
      <c r="W50" s="9">
        <v>1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</row>
    <row r="51" spans="1:29" x14ac:dyDescent="0.3">
      <c r="A51" s="16"/>
      <c r="B51" s="19"/>
      <c r="C51" s="17" t="s">
        <v>100</v>
      </c>
      <c r="D51" s="9" t="s">
        <v>101</v>
      </c>
      <c r="E51" s="10" t="s">
        <v>1</v>
      </c>
      <c r="F51" s="9">
        <v>-20</v>
      </c>
      <c r="G51" s="9">
        <v>-20</v>
      </c>
      <c r="H51" s="9">
        <v>-20</v>
      </c>
      <c r="I51" s="9">
        <v>-20</v>
      </c>
      <c r="J51" s="9">
        <v>-20</v>
      </c>
      <c r="K51" s="9">
        <v>-20</v>
      </c>
      <c r="L51" s="9">
        <v>-20</v>
      </c>
      <c r="M51" s="9">
        <v>-20</v>
      </c>
      <c r="N51" s="9">
        <v>-20</v>
      </c>
      <c r="O51" s="9">
        <v>-20</v>
      </c>
      <c r="P51" s="9">
        <v>-20</v>
      </c>
      <c r="Q51" s="9">
        <v>-20</v>
      </c>
      <c r="R51" s="9">
        <v>-20</v>
      </c>
      <c r="S51" s="9">
        <v>-20</v>
      </c>
      <c r="T51" s="9">
        <v>-20</v>
      </c>
      <c r="U51" s="9">
        <v>-20</v>
      </c>
      <c r="V51" s="9">
        <v>-20</v>
      </c>
      <c r="W51" s="9">
        <v>-20</v>
      </c>
      <c r="X51" s="9">
        <v>-20</v>
      </c>
      <c r="Y51" s="9">
        <v>-20</v>
      </c>
      <c r="Z51" s="9">
        <v>-20</v>
      </c>
      <c r="AA51" s="9">
        <v>-20</v>
      </c>
      <c r="AB51" s="9">
        <v>-20</v>
      </c>
      <c r="AC51" s="9">
        <v>-20</v>
      </c>
    </row>
    <row r="52" spans="1:29" x14ac:dyDescent="0.3">
      <c r="A52" s="16"/>
      <c r="B52" s="19"/>
      <c r="C52" s="18"/>
      <c r="D52" s="9" t="s">
        <v>102</v>
      </c>
      <c r="E52" s="10" t="s">
        <v>1</v>
      </c>
      <c r="F52" s="9">
        <v>5</v>
      </c>
      <c r="G52" s="9">
        <v>5</v>
      </c>
      <c r="H52" s="9">
        <v>5</v>
      </c>
      <c r="I52" s="9">
        <v>5</v>
      </c>
      <c r="J52" s="9">
        <v>5</v>
      </c>
      <c r="K52" s="9">
        <v>12</v>
      </c>
      <c r="L52" s="9">
        <v>18</v>
      </c>
      <c r="M52" s="9">
        <v>20</v>
      </c>
      <c r="N52" s="9">
        <v>20</v>
      </c>
      <c r="O52" s="9">
        <v>20</v>
      </c>
      <c r="P52" s="9">
        <v>20</v>
      </c>
      <c r="Q52" s="9">
        <v>20</v>
      </c>
      <c r="R52" s="9">
        <v>20</v>
      </c>
      <c r="S52" s="9">
        <v>20</v>
      </c>
      <c r="T52" s="9">
        <v>20</v>
      </c>
      <c r="U52" s="9">
        <v>20</v>
      </c>
      <c r="V52" s="9">
        <v>20</v>
      </c>
      <c r="W52" s="9">
        <v>20</v>
      </c>
      <c r="X52" s="9">
        <v>18</v>
      </c>
      <c r="Y52" s="9">
        <v>12</v>
      </c>
      <c r="Z52" s="9">
        <v>5</v>
      </c>
      <c r="AA52" s="9">
        <v>5</v>
      </c>
      <c r="AB52" s="9">
        <v>5</v>
      </c>
      <c r="AC52" s="9">
        <v>5</v>
      </c>
    </row>
    <row r="53" spans="1:29" x14ac:dyDescent="0.3">
      <c r="A53" s="16"/>
      <c r="B53" s="19"/>
      <c r="C53" s="18"/>
      <c r="D53" s="9" t="s">
        <v>103</v>
      </c>
      <c r="E53" s="10" t="s">
        <v>1</v>
      </c>
      <c r="F53" s="9">
        <v>5</v>
      </c>
      <c r="G53" s="9">
        <v>5</v>
      </c>
      <c r="H53" s="9">
        <v>5</v>
      </c>
      <c r="I53" s="9">
        <v>5</v>
      </c>
      <c r="J53" s="9">
        <v>5</v>
      </c>
      <c r="K53" s="9">
        <v>5</v>
      </c>
      <c r="L53" s="9">
        <v>5</v>
      </c>
      <c r="M53" s="9">
        <v>5</v>
      </c>
      <c r="N53" s="9">
        <v>5</v>
      </c>
      <c r="O53" s="9">
        <v>5</v>
      </c>
      <c r="P53" s="9">
        <v>5</v>
      </c>
      <c r="Q53" s="9">
        <v>5</v>
      </c>
      <c r="R53" s="9">
        <v>5</v>
      </c>
      <c r="S53" s="9">
        <v>5</v>
      </c>
      <c r="T53" s="9">
        <v>5</v>
      </c>
      <c r="U53" s="9">
        <v>5</v>
      </c>
      <c r="V53" s="9">
        <v>5</v>
      </c>
      <c r="W53" s="9">
        <v>5</v>
      </c>
      <c r="X53" s="9">
        <v>5</v>
      </c>
      <c r="Y53" s="9">
        <v>5</v>
      </c>
      <c r="Z53" s="9">
        <v>5</v>
      </c>
      <c r="AA53" s="9">
        <v>5</v>
      </c>
      <c r="AB53" s="9">
        <v>5</v>
      </c>
      <c r="AC53" s="9">
        <v>5</v>
      </c>
    </row>
    <row r="54" spans="1:29" x14ac:dyDescent="0.3">
      <c r="A54" s="16"/>
      <c r="B54" s="19"/>
      <c r="C54" s="18"/>
      <c r="D54" s="9" t="s">
        <v>104</v>
      </c>
      <c r="E54" s="10" t="s">
        <v>1</v>
      </c>
      <c r="F54" s="9">
        <v>50</v>
      </c>
      <c r="G54" s="9">
        <v>50</v>
      </c>
      <c r="H54" s="9">
        <v>50</v>
      </c>
      <c r="I54" s="9">
        <v>50</v>
      </c>
      <c r="J54" s="9">
        <v>50</v>
      </c>
      <c r="K54" s="9">
        <v>50</v>
      </c>
      <c r="L54" s="9">
        <v>50</v>
      </c>
      <c r="M54" s="9">
        <v>50</v>
      </c>
      <c r="N54" s="9">
        <v>50</v>
      </c>
      <c r="O54" s="9">
        <v>50</v>
      </c>
      <c r="P54" s="9">
        <v>50</v>
      </c>
      <c r="Q54" s="9">
        <v>50</v>
      </c>
      <c r="R54" s="9">
        <v>50</v>
      </c>
      <c r="S54" s="9">
        <v>50</v>
      </c>
      <c r="T54" s="9">
        <v>50</v>
      </c>
      <c r="U54" s="9">
        <v>50</v>
      </c>
      <c r="V54" s="9">
        <v>50</v>
      </c>
      <c r="W54" s="9">
        <v>50</v>
      </c>
      <c r="X54" s="9">
        <v>50</v>
      </c>
      <c r="Y54" s="9">
        <v>50</v>
      </c>
      <c r="Z54" s="9">
        <v>50</v>
      </c>
      <c r="AA54" s="9">
        <v>50</v>
      </c>
      <c r="AB54" s="9">
        <v>50</v>
      </c>
      <c r="AC54" s="9">
        <v>50</v>
      </c>
    </row>
    <row r="55" spans="1:29" x14ac:dyDescent="0.3">
      <c r="A55" s="16"/>
      <c r="B55" s="19"/>
      <c r="C55" s="18"/>
      <c r="D55" s="9" t="s">
        <v>105</v>
      </c>
      <c r="E55" s="10" t="s">
        <v>1</v>
      </c>
      <c r="F55" s="9">
        <v>50</v>
      </c>
      <c r="G55" s="9">
        <v>50</v>
      </c>
      <c r="H55" s="9">
        <v>50</v>
      </c>
      <c r="I55" s="9">
        <v>50</v>
      </c>
      <c r="J55" s="9">
        <v>50</v>
      </c>
      <c r="K55" s="9">
        <v>50</v>
      </c>
      <c r="L55" s="9">
        <v>28</v>
      </c>
      <c r="M55" s="9">
        <v>26</v>
      </c>
      <c r="N55" s="9">
        <v>26</v>
      </c>
      <c r="O55" s="9">
        <v>26</v>
      </c>
      <c r="P55" s="9">
        <v>26</v>
      </c>
      <c r="Q55" s="9">
        <v>26</v>
      </c>
      <c r="R55" s="9">
        <v>26</v>
      </c>
      <c r="S55" s="9">
        <v>26</v>
      </c>
      <c r="T55" s="9">
        <v>26</v>
      </c>
      <c r="U55" s="9">
        <v>26</v>
      </c>
      <c r="V55" s="9">
        <v>26</v>
      </c>
      <c r="W55" s="9">
        <v>26</v>
      </c>
      <c r="X55" s="9">
        <v>50</v>
      </c>
      <c r="Y55" s="9">
        <v>50</v>
      </c>
      <c r="Z55" s="9">
        <v>50</v>
      </c>
      <c r="AA55" s="9">
        <v>50</v>
      </c>
      <c r="AB55" s="9">
        <v>50</v>
      </c>
      <c r="AC55" s="9">
        <v>50</v>
      </c>
    </row>
    <row r="56" spans="1:29" x14ac:dyDescent="0.3">
      <c r="A56" s="16"/>
      <c r="B56" s="19"/>
      <c r="C56" s="18"/>
      <c r="D56" s="9" t="s">
        <v>106</v>
      </c>
      <c r="E56" s="10" t="s">
        <v>1</v>
      </c>
      <c r="F56" s="9">
        <v>50</v>
      </c>
      <c r="G56" s="9">
        <v>50</v>
      </c>
      <c r="H56" s="9">
        <v>50</v>
      </c>
      <c r="I56" s="9">
        <v>50</v>
      </c>
      <c r="J56" s="9">
        <v>50</v>
      </c>
      <c r="K56" s="9">
        <v>50</v>
      </c>
      <c r="L56" s="9">
        <v>50</v>
      </c>
      <c r="M56" s="9">
        <v>50</v>
      </c>
      <c r="N56" s="9">
        <v>50</v>
      </c>
      <c r="O56" s="9">
        <v>50</v>
      </c>
      <c r="P56" s="9">
        <v>50</v>
      </c>
      <c r="Q56" s="9">
        <v>50</v>
      </c>
      <c r="R56" s="9">
        <v>50</v>
      </c>
      <c r="S56" s="9">
        <v>50</v>
      </c>
      <c r="T56" s="9">
        <v>50</v>
      </c>
      <c r="U56" s="9">
        <v>50</v>
      </c>
      <c r="V56" s="9">
        <v>50</v>
      </c>
      <c r="W56" s="9">
        <v>50</v>
      </c>
      <c r="X56" s="9">
        <v>50</v>
      </c>
      <c r="Y56" s="9">
        <v>50</v>
      </c>
      <c r="Z56" s="9">
        <v>50</v>
      </c>
      <c r="AA56" s="9">
        <v>50</v>
      </c>
      <c r="AB56" s="9">
        <v>50</v>
      </c>
      <c r="AC56" s="9">
        <v>50</v>
      </c>
    </row>
    <row r="57" spans="1:29" x14ac:dyDescent="0.3">
      <c r="A57" s="16"/>
      <c r="B57" s="19"/>
      <c r="C57" s="18"/>
      <c r="D57" s="9" t="s">
        <v>107</v>
      </c>
      <c r="E57" s="10" t="s">
        <v>5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0.1</v>
      </c>
      <c r="M57" s="9">
        <v>0.5</v>
      </c>
      <c r="N57" s="9">
        <v>0.95</v>
      </c>
      <c r="O57" s="9">
        <v>0.95</v>
      </c>
      <c r="P57" s="9">
        <v>0.95</v>
      </c>
      <c r="Q57" s="9">
        <v>0.8</v>
      </c>
      <c r="R57" s="9">
        <v>0.8</v>
      </c>
      <c r="S57" s="9">
        <v>0.95</v>
      </c>
      <c r="T57" s="9">
        <v>0.95</v>
      </c>
      <c r="U57" s="9">
        <v>0.95</v>
      </c>
      <c r="V57" s="9">
        <v>0.95</v>
      </c>
      <c r="W57" s="9">
        <v>0.3</v>
      </c>
      <c r="X57" s="9">
        <v>0.3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</row>
    <row r="58" spans="1:29" x14ac:dyDescent="0.3">
      <c r="A58" s="16"/>
      <c r="B58" s="19"/>
      <c r="C58" s="18"/>
      <c r="D58" s="9" t="s">
        <v>108</v>
      </c>
      <c r="E58" s="10" t="s">
        <v>5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</row>
    <row r="59" spans="1:29" x14ac:dyDescent="0.3">
      <c r="A59" s="16"/>
      <c r="B59" s="19"/>
      <c r="C59" s="18"/>
      <c r="D59" s="9" t="s">
        <v>109</v>
      </c>
      <c r="E59" s="10" t="s">
        <v>5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0.1</v>
      </c>
      <c r="M59" s="9">
        <v>0.5</v>
      </c>
      <c r="N59" s="9">
        <v>0.95</v>
      </c>
      <c r="O59" s="9">
        <v>0.95</v>
      </c>
      <c r="P59" s="9">
        <v>0.95</v>
      </c>
      <c r="Q59" s="9">
        <v>0.5</v>
      </c>
      <c r="R59" s="9">
        <v>0.5</v>
      </c>
      <c r="S59" s="9">
        <v>0.95</v>
      </c>
      <c r="T59" s="9">
        <v>0.95</v>
      </c>
      <c r="U59" s="9">
        <v>0.95</v>
      </c>
      <c r="V59" s="9">
        <v>0.95</v>
      </c>
      <c r="W59" s="9">
        <v>0.3</v>
      </c>
      <c r="X59" s="9">
        <v>0.3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</row>
    <row r="60" spans="1:29" x14ac:dyDescent="0.3">
      <c r="A60" s="16"/>
      <c r="B60" s="19"/>
      <c r="C60" s="18"/>
      <c r="D60" s="9" t="s">
        <v>110</v>
      </c>
      <c r="E60" s="10" t="s">
        <v>5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</row>
    <row r="61" spans="1:29" x14ac:dyDescent="0.3">
      <c r="A61" s="16"/>
      <c r="B61" s="19"/>
      <c r="C61" s="18"/>
      <c r="D61" s="9" t="s">
        <v>111</v>
      </c>
      <c r="E61" s="10" t="s">
        <v>5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0.1</v>
      </c>
      <c r="M61" s="9">
        <v>0.5</v>
      </c>
      <c r="N61" s="9">
        <v>0.95</v>
      </c>
      <c r="O61" s="9">
        <v>0.95</v>
      </c>
      <c r="P61" s="9">
        <v>0.95</v>
      </c>
      <c r="Q61" s="9">
        <v>0.8</v>
      </c>
      <c r="R61" s="9">
        <v>0.8</v>
      </c>
      <c r="S61" s="9">
        <v>0.95</v>
      </c>
      <c r="T61" s="9">
        <v>0.95</v>
      </c>
      <c r="U61" s="9">
        <v>0.95</v>
      </c>
      <c r="V61" s="9">
        <v>0.95</v>
      </c>
      <c r="W61" s="9">
        <v>0.3</v>
      </c>
      <c r="X61" s="9">
        <v>0.3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</row>
    <row r="62" spans="1:29" x14ac:dyDescent="0.3">
      <c r="A62" s="16"/>
      <c r="B62" s="19"/>
      <c r="C62" s="18"/>
      <c r="D62" s="9" t="s">
        <v>367</v>
      </c>
      <c r="E62" s="10" t="s">
        <v>5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</row>
    <row r="63" spans="1:29" x14ac:dyDescent="0.3">
      <c r="A63" s="16"/>
      <c r="B63" s="19"/>
      <c r="C63" s="18"/>
      <c r="D63" s="9" t="s">
        <v>368</v>
      </c>
      <c r="E63" s="1" t="s">
        <v>12</v>
      </c>
      <c r="F63" s="9">
        <v>144</v>
      </c>
      <c r="G63" s="9">
        <v>144</v>
      </c>
      <c r="H63" s="9">
        <v>144</v>
      </c>
      <c r="I63" s="9">
        <v>144</v>
      </c>
      <c r="J63" s="9">
        <v>144</v>
      </c>
      <c r="K63" s="9">
        <v>144</v>
      </c>
      <c r="L63" s="9">
        <v>144</v>
      </c>
      <c r="M63" s="9">
        <v>144</v>
      </c>
      <c r="N63" s="9">
        <v>144</v>
      </c>
      <c r="O63" s="9">
        <v>144</v>
      </c>
      <c r="P63" s="9">
        <v>144</v>
      </c>
      <c r="Q63" s="9">
        <v>144</v>
      </c>
      <c r="R63" s="9">
        <v>144</v>
      </c>
      <c r="S63" s="9">
        <v>144</v>
      </c>
      <c r="T63" s="9">
        <v>144</v>
      </c>
      <c r="U63" s="9">
        <v>144</v>
      </c>
      <c r="V63" s="9">
        <v>144</v>
      </c>
      <c r="W63" s="9">
        <v>144</v>
      </c>
      <c r="X63" s="9">
        <v>144</v>
      </c>
      <c r="Y63" s="9">
        <v>144</v>
      </c>
      <c r="Z63" s="9">
        <v>144</v>
      </c>
      <c r="AA63" s="9">
        <v>144</v>
      </c>
      <c r="AB63" s="9">
        <v>144</v>
      </c>
      <c r="AC63" s="9">
        <v>144</v>
      </c>
    </row>
    <row r="64" spans="1:29" x14ac:dyDescent="0.3">
      <c r="A64" s="16"/>
      <c r="B64" s="19"/>
      <c r="C64" s="18"/>
      <c r="D64" s="9" t="s">
        <v>369</v>
      </c>
      <c r="E64" s="1" t="s">
        <v>12</v>
      </c>
      <c r="F64" s="9">
        <v>144</v>
      </c>
      <c r="G64" s="9">
        <v>144</v>
      </c>
      <c r="H64" s="9">
        <v>144</v>
      </c>
      <c r="I64" s="9">
        <v>144</v>
      </c>
      <c r="J64" s="9">
        <v>144</v>
      </c>
      <c r="K64" s="9">
        <v>144</v>
      </c>
      <c r="L64" s="9">
        <v>144</v>
      </c>
      <c r="M64" s="9">
        <v>144</v>
      </c>
      <c r="N64" s="9">
        <v>144</v>
      </c>
      <c r="O64" s="9">
        <v>144</v>
      </c>
      <c r="P64" s="9">
        <v>144</v>
      </c>
      <c r="Q64" s="9">
        <v>144</v>
      </c>
      <c r="R64" s="9">
        <v>144</v>
      </c>
      <c r="S64" s="9">
        <v>144</v>
      </c>
      <c r="T64" s="9">
        <v>144</v>
      </c>
      <c r="U64" s="9">
        <v>144</v>
      </c>
      <c r="V64" s="9">
        <v>144</v>
      </c>
      <c r="W64" s="9">
        <v>144</v>
      </c>
      <c r="X64" s="9">
        <v>144</v>
      </c>
      <c r="Y64" s="9">
        <v>144</v>
      </c>
      <c r="Z64" s="9">
        <v>144</v>
      </c>
      <c r="AA64" s="9">
        <v>144</v>
      </c>
      <c r="AB64" s="9">
        <v>144</v>
      </c>
      <c r="AC64" s="9">
        <v>144</v>
      </c>
    </row>
    <row r="65" spans="1:29" x14ac:dyDescent="0.3">
      <c r="A65" s="16"/>
      <c r="B65" s="19"/>
      <c r="C65" s="18"/>
      <c r="D65" s="9" t="s">
        <v>113</v>
      </c>
      <c r="E65" s="10" t="s">
        <v>4</v>
      </c>
      <c r="F65" s="9">
        <v>1</v>
      </c>
      <c r="G65" s="9">
        <v>1</v>
      </c>
      <c r="H65" s="9">
        <v>1</v>
      </c>
      <c r="I65" s="9">
        <v>1</v>
      </c>
      <c r="J65" s="9">
        <v>1</v>
      </c>
      <c r="K65" s="9">
        <v>1</v>
      </c>
      <c r="L65" s="9">
        <v>1</v>
      </c>
      <c r="M65" s="9">
        <v>1</v>
      </c>
      <c r="N65" s="9">
        <v>1</v>
      </c>
      <c r="O65" s="9">
        <v>1</v>
      </c>
      <c r="P65" s="9">
        <v>1</v>
      </c>
      <c r="Q65" s="9">
        <v>1</v>
      </c>
      <c r="R65" s="9">
        <v>1</v>
      </c>
      <c r="S65" s="9">
        <v>1</v>
      </c>
      <c r="T65" s="9">
        <v>1</v>
      </c>
      <c r="U65" s="9">
        <v>1</v>
      </c>
      <c r="V65" s="9">
        <v>1</v>
      </c>
      <c r="W65" s="9">
        <v>1</v>
      </c>
      <c r="X65" s="9">
        <v>1</v>
      </c>
      <c r="Y65" s="9">
        <v>1</v>
      </c>
      <c r="Z65" s="9">
        <v>1</v>
      </c>
      <c r="AA65" s="9">
        <v>1</v>
      </c>
      <c r="AB65" s="9">
        <v>1</v>
      </c>
      <c r="AC65" s="9">
        <v>1</v>
      </c>
    </row>
    <row r="66" spans="1:29" x14ac:dyDescent="0.3">
      <c r="A66" s="16"/>
      <c r="B66" s="19"/>
      <c r="C66" s="18"/>
      <c r="D66" s="9" t="s">
        <v>132</v>
      </c>
      <c r="E66" s="10" t="s">
        <v>70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1</v>
      </c>
      <c r="M66" s="9">
        <v>1</v>
      </c>
      <c r="N66" s="9">
        <v>1</v>
      </c>
      <c r="O66" s="9">
        <v>1</v>
      </c>
      <c r="P66" s="9">
        <v>1</v>
      </c>
      <c r="Q66" s="9">
        <v>1</v>
      </c>
      <c r="R66" s="9">
        <v>1</v>
      </c>
      <c r="S66" s="9">
        <v>1</v>
      </c>
      <c r="T66" s="9">
        <v>1</v>
      </c>
      <c r="U66" s="9">
        <v>1</v>
      </c>
      <c r="V66" s="9">
        <v>1</v>
      </c>
      <c r="W66" s="9">
        <v>1</v>
      </c>
      <c r="X66" s="9">
        <v>1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</row>
    <row r="67" spans="1:29" x14ac:dyDescent="0.3">
      <c r="A67" s="16"/>
      <c r="B67" s="19"/>
      <c r="C67" s="18"/>
      <c r="D67" s="9" t="s">
        <v>134</v>
      </c>
      <c r="E67" s="10" t="s">
        <v>4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</row>
    <row r="68" spans="1:29" x14ac:dyDescent="0.3">
      <c r="A68" s="16"/>
      <c r="B68" s="19"/>
      <c r="C68" s="17" t="s">
        <v>114</v>
      </c>
      <c r="D68" s="9" t="s">
        <v>115</v>
      </c>
      <c r="E68" s="10" t="s">
        <v>1</v>
      </c>
      <c r="F68" s="9">
        <v>-20</v>
      </c>
      <c r="G68" s="9">
        <v>-20</v>
      </c>
      <c r="H68" s="9">
        <v>-20</v>
      </c>
      <c r="I68" s="9">
        <v>-20</v>
      </c>
      <c r="J68" s="9">
        <v>-20</v>
      </c>
      <c r="K68" s="9">
        <v>-20</v>
      </c>
      <c r="L68" s="9">
        <v>-20</v>
      </c>
      <c r="M68" s="9">
        <v>-20</v>
      </c>
      <c r="N68" s="9">
        <v>-20</v>
      </c>
      <c r="O68" s="9">
        <v>-20</v>
      </c>
      <c r="P68" s="9">
        <v>-20</v>
      </c>
      <c r="Q68" s="9">
        <v>-20</v>
      </c>
      <c r="R68" s="9">
        <v>-20</v>
      </c>
      <c r="S68" s="9">
        <v>-20</v>
      </c>
      <c r="T68" s="9">
        <v>-20</v>
      </c>
      <c r="U68" s="9">
        <v>-20</v>
      </c>
      <c r="V68" s="9">
        <v>-20</v>
      </c>
      <c r="W68" s="9">
        <v>-20</v>
      </c>
      <c r="X68" s="9">
        <v>-20</v>
      </c>
      <c r="Y68" s="9">
        <v>-20</v>
      </c>
      <c r="Z68" s="9">
        <v>-20</v>
      </c>
      <c r="AA68" s="9">
        <v>-20</v>
      </c>
      <c r="AB68" s="9">
        <v>-20</v>
      </c>
      <c r="AC68" s="9">
        <v>-20</v>
      </c>
    </row>
    <row r="69" spans="1:29" x14ac:dyDescent="0.3">
      <c r="A69" s="16"/>
      <c r="B69" s="19"/>
      <c r="C69" s="18"/>
      <c r="D69" s="9" t="s">
        <v>116</v>
      </c>
      <c r="E69" s="10" t="s">
        <v>1</v>
      </c>
      <c r="F69" s="9">
        <v>22</v>
      </c>
      <c r="G69" s="9">
        <v>22</v>
      </c>
      <c r="H69" s="9">
        <v>22</v>
      </c>
      <c r="I69" s="9">
        <v>22</v>
      </c>
      <c r="J69" s="9">
        <v>22</v>
      </c>
      <c r="K69" s="9">
        <v>22</v>
      </c>
      <c r="L69" s="9">
        <v>22</v>
      </c>
      <c r="M69" s="9">
        <v>22</v>
      </c>
      <c r="N69" s="9">
        <v>22</v>
      </c>
      <c r="O69" s="9">
        <v>22</v>
      </c>
      <c r="P69" s="9">
        <v>22</v>
      </c>
      <c r="Q69" s="9">
        <v>22</v>
      </c>
      <c r="R69" s="9">
        <v>22</v>
      </c>
      <c r="S69" s="9">
        <v>22</v>
      </c>
      <c r="T69" s="9">
        <v>22</v>
      </c>
      <c r="U69" s="9">
        <v>22</v>
      </c>
      <c r="V69" s="9">
        <v>22</v>
      </c>
      <c r="W69" s="9">
        <v>22</v>
      </c>
      <c r="X69" s="9">
        <v>22</v>
      </c>
      <c r="Y69" s="9">
        <v>22</v>
      </c>
      <c r="Z69" s="9">
        <v>22</v>
      </c>
      <c r="AA69" s="9">
        <v>22</v>
      </c>
      <c r="AB69" s="9">
        <v>22</v>
      </c>
      <c r="AC69" s="9">
        <v>22</v>
      </c>
    </row>
    <row r="70" spans="1:29" x14ac:dyDescent="0.3">
      <c r="A70" s="16"/>
      <c r="B70" s="19"/>
      <c r="C70" s="18"/>
      <c r="D70" s="9" t="s">
        <v>117</v>
      </c>
      <c r="E70" s="10" t="s">
        <v>1</v>
      </c>
      <c r="F70" s="9">
        <v>22</v>
      </c>
      <c r="G70" s="9">
        <v>22</v>
      </c>
      <c r="H70" s="9">
        <v>22</v>
      </c>
      <c r="I70" s="9">
        <v>22</v>
      </c>
      <c r="J70" s="9">
        <v>22</v>
      </c>
      <c r="K70" s="9">
        <v>22</v>
      </c>
      <c r="L70" s="9">
        <v>22</v>
      </c>
      <c r="M70" s="9">
        <v>22</v>
      </c>
      <c r="N70" s="9">
        <v>22</v>
      </c>
      <c r="O70" s="9">
        <v>22</v>
      </c>
      <c r="P70" s="9">
        <v>22</v>
      </c>
      <c r="Q70" s="9">
        <v>22</v>
      </c>
      <c r="R70" s="9">
        <v>22</v>
      </c>
      <c r="S70" s="9">
        <v>22</v>
      </c>
      <c r="T70" s="9">
        <v>22</v>
      </c>
      <c r="U70" s="9">
        <v>22</v>
      </c>
      <c r="V70" s="9">
        <v>22</v>
      </c>
      <c r="W70" s="9">
        <v>22</v>
      </c>
      <c r="X70" s="9">
        <v>22</v>
      </c>
      <c r="Y70" s="9">
        <v>22</v>
      </c>
      <c r="Z70" s="9">
        <v>22</v>
      </c>
      <c r="AA70" s="9">
        <v>22</v>
      </c>
      <c r="AB70" s="9">
        <v>22</v>
      </c>
      <c r="AC70" s="9">
        <v>22</v>
      </c>
    </row>
    <row r="71" spans="1:29" x14ac:dyDescent="0.3">
      <c r="A71" s="16"/>
      <c r="B71" s="19"/>
      <c r="C71" s="18"/>
      <c r="D71" s="9" t="s">
        <v>118</v>
      </c>
      <c r="E71" s="10" t="s">
        <v>1</v>
      </c>
      <c r="F71" s="9">
        <v>50</v>
      </c>
      <c r="G71" s="9">
        <v>50</v>
      </c>
      <c r="H71" s="9">
        <v>50</v>
      </c>
      <c r="I71" s="9">
        <v>50</v>
      </c>
      <c r="J71" s="9">
        <v>50</v>
      </c>
      <c r="K71" s="9">
        <v>50</v>
      </c>
      <c r="L71" s="9">
        <v>50</v>
      </c>
      <c r="M71" s="9">
        <v>50</v>
      </c>
      <c r="N71" s="9">
        <v>50</v>
      </c>
      <c r="O71" s="9">
        <v>50</v>
      </c>
      <c r="P71" s="9">
        <v>50</v>
      </c>
      <c r="Q71" s="9">
        <v>50</v>
      </c>
      <c r="R71" s="9">
        <v>50</v>
      </c>
      <c r="S71" s="9">
        <v>50</v>
      </c>
      <c r="T71" s="9">
        <v>50</v>
      </c>
      <c r="U71" s="9">
        <v>50</v>
      </c>
      <c r="V71" s="9">
        <v>50</v>
      </c>
      <c r="W71" s="9">
        <v>50</v>
      </c>
      <c r="X71" s="9">
        <v>50</v>
      </c>
      <c r="Y71" s="9">
        <v>50</v>
      </c>
      <c r="Z71" s="9">
        <v>50</v>
      </c>
      <c r="AA71" s="9">
        <v>50</v>
      </c>
      <c r="AB71" s="9">
        <v>50</v>
      </c>
      <c r="AC71" s="9">
        <v>50</v>
      </c>
    </row>
    <row r="72" spans="1:29" x14ac:dyDescent="0.3">
      <c r="A72" s="16"/>
      <c r="B72" s="19"/>
      <c r="C72" s="18"/>
      <c r="D72" s="9" t="s">
        <v>119</v>
      </c>
      <c r="E72" s="10" t="s">
        <v>1</v>
      </c>
      <c r="F72" s="9">
        <v>26</v>
      </c>
      <c r="G72" s="9">
        <v>26</v>
      </c>
      <c r="H72" s="9">
        <v>26</v>
      </c>
      <c r="I72" s="9">
        <v>26</v>
      </c>
      <c r="J72" s="9">
        <v>26</v>
      </c>
      <c r="K72" s="9">
        <v>26</v>
      </c>
      <c r="L72" s="9">
        <v>26</v>
      </c>
      <c r="M72" s="9">
        <v>26</v>
      </c>
      <c r="N72" s="9">
        <v>26</v>
      </c>
      <c r="O72" s="9">
        <v>26</v>
      </c>
      <c r="P72" s="9">
        <v>26</v>
      </c>
      <c r="Q72" s="9">
        <v>26</v>
      </c>
      <c r="R72" s="9">
        <v>26</v>
      </c>
      <c r="S72" s="9">
        <v>26</v>
      </c>
      <c r="T72" s="9">
        <v>26</v>
      </c>
      <c r="U72" s="9">
        <v>26</v>
      </c>
      <c r="V72" s="9">
        <v>26</v>
      </c>
      <c r="W72" s="9">
        <v>26</v>
      </c>
      <c r="X72" s="9">
        <v>26</v>
      </c>
      <c r="Y72" s="9">
        <v>26</v>
      </c>
      <c r="Z72" s="9">
        <v>26</v>
      </c>
      <c r="AA72" s="9">
        <v>26</v>
      </c>
      <c r="AB72" s="9">
        <v>26</v>
      </c>
      <c r="AC72" s="9">
        <v>26</v>
      </c>
    </row>
    <row r="73" spans="1:29" x14ac:dyDescent="0.3">
      <c r="A73" s="16"/>
      <c r="B73" s="19"/>
      <c r="C73" s="18"/>
      <c r="D73" s="9" t="s">
        <v>171</v>
      </c>
      <c r="E73" s="10" t="s">
        <v>1</v>
      </c>
      <c r="F73" s="9">
        <v>26</v>
      </c>
      <c r="G73" s="9">
        <v>26</v>
      </c>
      <c r="H73" s="9">
        <v>26</v>
      </c>
      <c r="I73" s="9">
        <v>26</v>
      </c>
      <c r="J73" s="9">
        <v>26</v>
      </c>
      <c r="K73" s="9">
        <v>26</v>
      </c>
      <c r="L73" s="9">
        <v>26</v>
      </c>
      <c r="M73" s="9">
        <v>26</v>
      </c>
      <c r="N73" s="9">
        <v>26</v>
      </c>
      <c r="O73" s="9">
        <v>26</v>
      </c>
      <c r="P73" s="9">
        <v>26</v>
      </c>
      <c r="Q73" s="9">
        <v>26</v>
      </c>
      <c r="R73" s="9">
        <v>26</v>
      </c>
      <c r="S73" s="9">
        <v>26</v>
      </c>
      <c r="T73" s="9">
        <v>26</v>
      </c>
      <c r="U73" s="9">
        <v>26</v>
      </c>
      <c r="V73" s="9">
        <v>26</v>
      </c>
      <c r="W73" s="9">
        <v>26</v>
      </c>
      <c r="X73" s="9">
        <v>26</v>
      </c>
      <c r="Y73" s="9">
        <v>26</v>
      </c>
      <c r="Z73" s="9">
        <v>26</v>
      </c>
      <c r="AA73" s="9">
        <v>26</v>
      </c>
      <c r="AB73" s="9">
        <v>26</v>
      </c>
      <c r="AC73" s="9">
        <v>26</v>
      </c>
    </row>
    <row r="74" spans="1:29" x14ac:dyDescent="0.3">
      <c r="A74" s="16"/>
      <c r="B74" s="19"/>
      <c r="C74" s="18"/>
      <c r="D74" s="9" t="s">
        <v>121</v>
      </c>
      <c r="E74" s="10" t="s">
        <v>5</v>
      </c>
      <c r="F74" s="9">
        <v>0.1</v>
      </c>
      <c r="G74" s="9">
        <v>0.1</v>
      </c>
      <c r="H74" s="9">
        <v>0.1</v>
      </c>
      <c r="I74" s="9">
        <v>0.1</v>
      </c>
      <c r="J74" s="9">
        <v>0.1</v>
      </c>
      <c r="K74" s="9">
        <v>0.1</v>
      </c>
      <c r="L74" s="9">
        <v>0.3</v>
      </c>
      <c r="M74" s="9">
        <v>0.3</v>
      </c>
      <c r="N74" s="9">
        <v>0.3</v>
      </c>
      <c r="O74" s="9">
        <v>0.3</v>
      </c>
      <c r="P74" s="9">
        <v>0.3</v>
      </c>
      <c r="Q74" s="9">
        <v>0.3</v>
      </c>
      <c r="R74" s="9">
        <v>0.3</v>
      </c>
      <c r="S74" s="9">
        <v>0.3</v>
      </c>
      <c r="T74" s="9">
        <v>0.5</v>
      </c>
      <c r="U74" s="9">
        <v>0.5</v>
      </c>
      <c r="V74" s="9">
        <v>0.6</v>
      </c>
      <c r="W74" s="9">
        <v>0.9</v>
      </c>
      <c r="X74" s="9">
        <v>0.9</v>
      </c>
      <c r="Y74" s="9">
        <v>0.9</v>
      </c>
      <c r="Z74" s="9">
        <v>0.9</v>
      </c>
      <c r="AA74" s="9">
        <v>0.8</v>
      </c>
      <c r="AB74" s="9">
        <v>0.1</v>
      </c>
      <c r="AC74" s="9">
        <v>0.1</v>
      </c>
    </row>
    <row r="75" spans="1:29" x14ac:dyDescent="0.3">
      <c r="A75" s="16"/>
      <c r="B75" s="19"/>
      <c r="C75" s="18"/>
      <c r="D75" s="9" t="s">
        <v>122</v>
      </c>
      <c r="E75" s="10" t="s">
        <v>5</v>
      </c>
      <c r="F75" s="9">
        <v>0.1</v>
      </c>
      <c r="G75" s="9">
        <v>0.1</v>
      </c>
      <c r="H75" s="9">
        <v>0.1</v>
      </c>
      <c r="I75" s="9">
        <v>0.1</v>
      </c>
      <c r="J75" s="9">
        <v>0.1</v>
      </c>
      <c r="K75" s="9">
        <v>0.1</v>
      </c>
      <c r="L75" s="9">
        <v>0.3</v>
      </c>
      <c r="M75" s="9">
        <v>0.3</v>
      </c>
      <c r="N75" s="9">
        <v>0.3</v>
      </c>
      <c r="O75" s="9">
        <v>0.3</v>
      </c>
      <c r="P75" s="9">
        <v>0.3</v>
      </c>
      <c r="Q75" s="9">
        <v>0.3</v>
      </c>
      <c r="R75" s="9">
        <v>0.3</v>
      </c>
      <c r="S75" s="9">
        <v>0.3</v>
      </c>
      <c r="T75" s="9">
        <v>0.5</v>
      </c>
      <c r="U75" s="9">
        <v>0.5</v>
      </c>
      <c r="V75" s="9">
        <v>0.6</v>
      </c>
      <c r="W75" s="9">
        <v>0.9</v>
      </c>
      <c r="X75" s="9">
        <v>0.9</v>
      </c>
      <c r="Y75" s="9">
        <v>0.9</v>
      </c>
      <c r="Z75" s="9">
        <v>0.9</v>
      </c>
      <c r="AA75" s="9">
        <v>0.8</v>
      </c>
      <c r="AB75" s="9">
        <v>0.1</v>
      </c>
      <c r="AC75" s="9">
        <v>0.1</v>
      </c>
    </row>
    <row r="76" spans="1:29" x14ac:dyDescent="0.3">
      <c r="A76" s="16"/>
      <c r="B76" s="19"/>
      <c r="C76" s="18"/>
      <c r="D76" s="9" t="s">
        <v>123</v>
      </c>
      <c r="E76" s="10" t="s">
        <v>5</v>
      </c>
      <c r="F76" s="9">
        <v>0.95</v>
      </c>
      <c r="G76" s="9">
        <v>0.95</v>
      </c>
      <c r="H76" s="9">
        <v>0.95</v>
      </c>
      <c r="I76" s="9">
        <v>0.95</v>
      </c>
      <c r="J76" s="9">
        <v>0.95</v>
      </c>
      <c r="K76" s="9">
        <v>0.95</v>
      </c>
      <c r="L76" s="9">
        <v>0.95</v>
      </c>
      <c r="M76" s="9">
        <v>0.95</v>
      </c>
      <c r="N76" s="9">
        <v>0.95</v>
      </c>
      <c r="O76" s="9">
        <v>0.95</v>
      </c>
      <c r="P76" s="9">
        <v>0.95</v>
      </c>
      <c r="Q76" s="9">
        <v>0.95</v>
      </c>
      <c r="R76" s="9">
        <v>0.95</v>
      </c>
      <c r="S76" s="9">
        <v>0.95</v>
      </c>
      <c r="T76" s="9">
        <v>0.95</v>
      </c>
      <c r="U76" s="9">
        <v>0.95</v>
      </c>
      <c r="V76" s="9">
        <v>0.95</v>
      </c>
      <c r="W76" s="9">
        <v>0.95</v>
      </c>
      <c r="X76" s="9">
        <v>0.95</v>
      </c>
      <c r="Y76" s="9">
        <v>0.95</v>
      </c>
      <c r="Z76" s="9">
        <v>0.95</v>
      </c>
      <c r="AA76" s="9">
        <v>0.95</v>
      </c>
      <c r="AB76" s="9">
        <v>0.95</v>
      </c>
      <c r="AC76" s="9">
        <v>0.95</v>
      </c>
    </row>
    <row r="77" spans="1:29" x14ac:dyDescent="0.3">
      <c r="A77" s="16"/>
      <c r="B77" s="19"/>
      <c r="C77" s="18"/>
      <c r="D77" s="9" t="s">
        <v>124</v>
      </c>
      <c r="E77" s="10" t="s">
        <v>5</v>
      </c>
      <c r="F77" s="9">
        <v>0.95</v>
      </c>
      <c r="G77" s="9">
        <v>0.95</v>
      </c>
      <c r="H77" s="9">
        <v>0.95</v>
      </c>
      <c r="I77" s="9">
        <v>0.95</v>
      </c>
      <c r="J77" s="9">
        <v>0.95</v>
      </c>
      <c r="K77" s="9">
        <v>0.95</v>
      </c>
      <c r="L77" s="9">
        <v>0.95</v>
      </c>
      <c r="M77" s="9">
        <v>0.95</v>
      </c>
      <c r="N77" s="9">
        <v>0.95</v>
      </c>
      <c r="O77" s="9">
        <v>0.95</v>
      </c>
      <c r="P77" s="9">
        <v>0.95</v>
      </c>
      <c r="Q77" s="9">
        <v>0.95</v>
      </c>
      <c r="R77" s="9">
        <v>0.95</v>
      </c>
      <c r="S77" s="9">
        <v>0.95</v>
      </c>
      <c r="T77" s="9">
        <v>0.95</v>
      </c>
      <c r="U77" s="9">
        <v>0.95</v>
      </c>
      <c r="V77" s="9">
        <v>0.95</v>
      </c>
      <c r="W77" s="9">
        <v>0.95</v>
      </c>
      <c r="X77" s="9">
        <v>0.95</v>
      </c>
      <c r="Y77" s="9">
        <v>0.95</v>
      </c>
      <c r="Z77" s="9">
        <v>0.95</v>
      </c>
      <c r="AA77" s="9">
        <v>0.95</v>
      </c>
      <c r="AB77" s="9">
        <v>0.95</v>
      </c>
      <c r="AC77" s="9">
        <v>0.95</v>
      </c>
    </row>
    <row r="78" spans="1:29" x14ac:dyDescent="0.3">
      <c r="A78" s="16"/>
      <c r="B78" s="19"/>
      <c r="C78" s="18"/>
      <c r="D78" s="9" t="s">
        <v>125</v>
      </c>
      <c r="E78" s="10" t="s">
        <v>5</v>
      </c>
      <c r="F78" s="9">
        <v>0.95</v>
      </c>
      <c r="G78" s="9">
        <v>0.95</v>
      </c>
      <c r="H78" s="9">
        <v>0.95</v>
      </c>
      <c r="I78" s="9">
        <v>0.95</v>
      </c>
      <c r="J78" s="9">
        <v>0.95</v>
      </c>
      <c r="K78" s="9">
        <v>0.95</v>
      </c>
      <c r="L78" s="9">
        <v>0.95</v>
      </c>
      <c r="M78" s="9">
        <v>0.95</v>
      </c>
      <c r="N78" s="9">
        <v>0.95</v>
      </c>
      <c r="O78" s="9">
        <v>0.95</v>
      </c>
      <c r="P78" s="9">
        <v>0.95</v>
      </c>
      <c r="Q78" s="9">
        <v>0.95</v>
      </c>
      <c r="R78" s="9">
        <v>0.95</v>
      </c>
      <c r="S78" s="9">
        <v>0.95</v>
      </c>
      <c r="T78" s="9">
        <v>0.95</v>
      </c>
      <c r="U78" s="9">
        <v>0.95</v>
      </c>
      <c r="V78" s="9">
        <v>0.95</v>
      </c>
      <c r="W78" s="9">
        <v>0.95</v>
      </c>
      <c r="X78" s="9">
        <v>0.95</v>
      </c>
      <c r="Y78" s="9">
        <v>0.95</v>
      </c>
      <c r="Z78" s="9">
        <v>0.95</v>
      </c>
      <c r="AA78" s="9">
        <v>0.95</v>
      </c>
      <c r="AB78" s="9">
        <v>0.95</v>
      </c>
      <c r="AC78" s="9">
        <v>0.95</v>
      </c>
    </row>
    <row r="79" spans="1:29" x14ac:dyDescent="0.3">
      <c r="A79" s="16"/>
      <c r="B79" s="19"/>
      <c r="C79" s="18"/>
      <c r="D79" s="9" t="s">
        <v>370</v>
      </c>
      <c r="E79" s="10" t="s">
        <v>5</v>
      </c>
      <c r="F79" s="9">
        <v>0.95</v>
      </c>
      <c r="G79" s="9">
        <v>0.95</v>
      </c>
      <c r="H79" s="9">
        <v>0.95</v>
      </c>
      <c r="I79" s="9">
        <v>0.95</v>
      </c>
      <c r="J79" s="9">
        <v>0.95</v>
      </c>
      <c r="K79" s="9">
        <v>0.95</v>
      </c>
      <c r="L79" s="9">
        <v>0.95</v>
      </c>
      <c r="M79" s="9">
        <v>0.95</v>
      </c>
      <c r="N79" s="9">
        <v>0.95</v>
      </c>
      <c r="O79" s="9">
        <v>0.95</v>
      </c>
      <c r="P79" s="9">
        <v>0.95</v>
      </c>
      <c r="Q79" s="9">
        <v>0.95</v>
      </c>
      <c r="R79" s="9">
        <v>0.95</v>
      </c>
      <c r="S79" s="9">
        <v>0.95</v>
      </c>
      <c r="T79" s="9">
        <v>0.95</v>
      </c>
      <c r="U79" s="9">
        <v>0.95</v>
      </c>
      <c r="V79" s="9">
        <v>0.95</v>
      </c>
      <c r="W79" s="9">
        <v>0.95</v>
      </c>
      <c r="X79" s="9">
        <v>0.95</v>
      </c>
      <c r="Y79" s="9">
        <v>0.95</v>
      </c>
      <c r="Z79" s="9">
        <v>0.95</v>
      </c>
      <c r="AA79" s="9">
        <v>0.95</v>
      </c>
      <c r="AB79" s="9">
        <v>0.95</v>
      </c>
      <c r="AC79" s="9">
        <v>0.95</v>
      </c>
    </row>
    <row r="80" spans="1:29" x14ac:dyDescent="0.3">
      <c r="A80" s="16"/>
      <c r="B80" s="19"/>
      <c r="C80" s="18"/>
      <c r="D80" s="9" t="s">
        <v>371</v>
      </c>
      <c r="E80" s="1" t="s">
        <v>12</v>
      </c>
      <c r="F80" s="9">
        <v>180</v>
      </c>
      <c r="G80" s="9">
        <v>180</v>
      </c>
      <c r="H80" s="9">
        <v>180</v>
      </c>
      <c r="I80" s="9">
        <v>180</v>
      </c>
      <c r="J80" s="9">
        <v>180</v>
      </c>
      <c r="K80" s="9">
        <v>180</v>
      </c>
      <c r="L80" s="9">
        <v>180</v>
      </c>
      <c r="M80" s="9">
        <v>180</v>
      </c>
      <c r="N80" s="9">
        <v>180</v>
      </c>
      <c r="O80" s="9">
        <v>180</v>
      </c>
      <c r="P80" s="9">
        <v>180</v>
      </c>
      <c r="Q80" s="9">
        <v>180</v>
      </c>
      <c r="R80" s="9">
        <v>180</v>
      </c>
      <c r="S80" s="9">
        <v>180</v>
      </c>
      <c r="T80" s="9">
        <v>180</v>
      </c>
      <c r="U80" s="9">
        <v>180</v>
      </c>
      <c r="V80" s="9">
        <v>180</v>
      </c>
      <c r="W80" s="9">
        <v>180</v>
      </c>
      <c r="X80" s="9">
        <v>180</v>
      </c>
      <c r="Y80" s="9">
        <v>180</v>
      </c>
      <c r="Z80" s="9">
        <v>180</v>
      </c>
      <c r="AA80" s="9">
        <v>180</v>
      </c>
      <c r="AB80" s="9">
        <v>180</v>
      </c>
      <c r="AC80" s="9">
        <v>180</v>
      </c>
    </row>
    <row r="81" spans="1:29" x14ac:dyDescent="0.3">
      <c r="A81" s="16"/>
      <c r="B81" s="19"/>
      <c r="C81" s="18"/>
      <c r="D81" s="9" t="s">
        <v>372</v>
      </c>
      <c r="E81" s="1" t="s">
        <v>12</v>
      </c>
      <c r="F81" s="9">
        <v>180</v>
      </c>
      <c r="G81" s="9">
        <v>180</v>
      </c>
      <c r="H81" s="9">
        <v>180</v>
      </c>
      <c r="I81" s="9">
        <v>180</v>
      </c>
      <c r="J81" s="9">
        <v>180</v>
      </c>
      <c r="K81" s="9">
        <v>180</v>
      </c>
      <c r="L81" s="9">
        <v>180</v>
      </c>
      <c r="M81" s="9">
        <v>180</v>
      </c>
      <c r="N81" s="9">
        <v>180</v>
      </c>
      <c r="O81" s="9">
        <v>180</v>
      </c>
      <c r="P81" s="9">
        <v>180</v>
      </c>
      <c r="Q81" s="9">
        <v>180</v>
      </c>
      <c r="R81" s="9">
        <v>180</v>
      </c>
      <c r="S81" s="9">
        <v>180</v>
      </c>
      <c r="T81" s="9">
        <v>180</v>
      </c>
      <c r="U81" s="9">
        <v>180</v>
      </c>
      <c r="V81" s="9">
        <v>180</v>
      </c>
      <c r="W81" s="9">
        <v>180</v>
      </c>
      <c r="X81" s="9">
        <v>180</v>
      </c>
      <c r="Y81" s="9">
        <v>180</v>
      </c>
      <c r="Z81" s="9">
        <v>180</v>
      </c>
      <c r="AA81" s="9">
        <v>180</v>
      </c>
      <c r="AB81" s="9">
        <v>180</v>
      </c>
      <c r="AC81" s="9">
        <v>180</v>
      </c>
    </row>
    <row r="82" spans="1:29" x14ac:dyDescent="0.3">
      <c r="A82" s="16"/>
      <c r="B82" s="19"/>
      <c r="C82" s="18"/>
      <c r="D82" s="9" t="s">
        <v>127</v>
      </c>
      <c r="E82" s="10" t="s">
        <v>4</v>
      </c>
      <c r="F82" s="9">
        <v>1</v>
      </c>
      <c r="G82" s="9">
        <v>1</v>
      </c>
      <c r="H82" s="9">
        <v>1</v>
      </c>
      <c r="I82" s="9">
        <v>1</v>
      </c>
      <c r="J82" s="9">
        <v>1</v>
      </c>
      <c r="K82" s="9">
        <v>1</v>
      </c>
      <c r="L82" s="9">
        <v>1</v>
      </c>
      <c r="M82" s="9">
        <v>1</v>
      </c>
      <c r="N82" s="9">
        <v>1</v>
      </c>
      <c r="O82" s="9">
        <v>1</v>
      </c>
      <c r="P82" s="9">
        <v>1</v>
      </c>
      <c r="Q82" s="9">
        <v>1</v>
      </c>
      <c r="R82" s="9">
        <v>1</v>
      </c>
      <c r="S82" s="9">
        <v>1</v>
      </c>
      <c r="T82" s="9">
        <v>1</v>
      </c>
      <c r="U82" s="9">
        <v>1</v>
      </c>
      <c r="V82" s="9">
        <v>1</v>
      </c>
      <c r="W82" s="9">
        <v>1</v>
      </c>
      <c r="X82" s="9">
        <v>1</v>
      </c>
      <c r="Y82" s="9">
        <v>1</v>
      </c>
      <c r="Z82" s="9">
        <v>1</v>
      </c>
      <c r="AA82" s="9">
        <v>1</v>
      </c>
      <c r="AB82" s="9">
        <v>1</v>
      </c>
      <c r="AC82" s="9">
        <v>1</v>
      </c>
    </row>
    <row r="83" spans="1:29" x14ac:dyDescent="0.3">
      <c r="A83" s="16"/>
      <c r="B83" s="19"/>
      <c r="C83" s="18"/>
      <c r="D83" s="9" t="s">
        <v>136</v>
      </c>
      <c r="E83" s="10" t="s">
        <v>4</v>
      </c>
      <c r="F83" s="9">
        <v>1</v>
      </c>
      <c r="G83" s="9">
        <v>1</v>
      </c>
      <c r="H83" s="9">
        <v>1</v>
      </c>
      <c r="I83" s="9">
        <v>1</v>
      </c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9">
        <v>1</v>
      </c>
      <c r="P83" s="9">
        <v>1</v>
      </c>
      <c r="Q83" s="9">
        <v>1</v>
      </c>
      <c r="R83" s="9">
        <v>1</v>
      </c>
      <c r="S83" s="9">
        <v>1</v>
      </c>
      <c r="T83" s="9">
        <v>1</v>
      </c>
      <c r="U83" s="9">
        <v>1</v>
      </c>
      <c r="V83" s="9">
        <v>1</v>
      </c>
      <c r="W83" s="9">
        <v>1</v>
      </c>
      <c r="X83" s="9">
        <v>1</v>
      </c>
      <c r="Y83" s="9">
        <v>1</v>
      </c>
      <c r="Z83" s="9">
        <v>1</v>
      </c>
      <c r="AA83" s="9">
        <v>1</v>
      </c>
      <c r="AB83" s="9">
        <v>1</v>
      </c>
      <c r="AC83" s="9">
        <v>1</v>
      </c>
    </row>
    <row r="84" spans="1:29" x14ac:dyDescent="0.3">
      <c r="A84" s="16"/>
      <c r="B84" s="19"/>
      <c r="C84" s="18"/>
      <c r="D84" s="9" t="s">
        <v>138</v>
      </c>
      <c r="E84" s="10" t="s">
        <v>4</v>
      </c>
      <c r="F84" s="9">
        <v>1</v>
      </c>
      <c r="G84" s="9">
        <v>1</v>
      </c>
      <c r="H84" s="9">
        <v>1</v>
      </c>
      <c r="I84" s="9">
        <v>1</v>
      </c>
      <c r="J84" s="9">
        <v>1</v>
      </c>
      <c r="K84" s="9">
        <v>1</v>
      </c>
      <c r="L84" s="9">
        <v>1</v>
      </c>
      <c r="M84" s="9">
        <v>1</v>
      </c>
      <c r="N84" s="9">
        <v>1</v>
      </c>
      <c r="O84" s="9">
        <v>1</v>
      </c>
      <c r="P84" s="9">
        <v>1</v>
      </c>
      <c r="Q84" s="9">
        <v>1</v>
      </c>
      <c r="R84" s="9">
        <v>1</v>
      </c>
      <c r="S84" s="9">
        <v>1</v>
      </c>
      <c r="T84" s="9">
        <v>1</v>
      </c>
      <c r="U84" s="9">
        <v>1</v>
      </c>
      <c r="V84" s="9">
        <v>1</v>
      </c>
      <c r="W84" s="9">
        <v>1</v>
      </c>
      <c r="X84" s="9">
        <v>1</v>
      </c>
      <c r="Y84" s="9">
        <v>1</v>
      </c>
      <c r="Z84" s="9">
        <v>1</v>
      </c>
      <c r="AA84" s="9">
        <v>1</v>
      </c>
      <c r="AB84" s="9">
        <v>1</v>
      </c>
      <c r="AC84" s="9">
        <v>1</v>
      </c>
    </row>
    <row r="85" spans="1:29" x14ac:dyDescent="0.3">
      <c r="A85" s="16"/>
      <c r="B85" s="19"/>
      <c r="C85" s="20" t="s">
        <v>128</v>
      </c>
      <c r="D85" s="9" t="s">
        <v>181</v>
      </c>
      <c r="E85" s="10" t="s">
        <v>1</v>
      </c>
      <c r="F85" s="9">
        <v>-20</v>
      </c>
      <c r="G85" s="9">
        <v>-20</v>
      </c>
      <c r="H85" s="9">
        <v>-20</v>
      </c>
      <c r="I85" s="9">
        <v>-20</v>
      </c>
      <c r="J85" s="9">
        <v>-20</v>
      </c>
      <c r="K85" s="9">
        <v>-20</v>
      </c>
      <c r="L85" s="9">
        <v>-20</v>
      </c>
      <c r="M85" s="9">
        <v>-20</v>
      </c>
      <c r="N85" s="9">
        <v>-20</v>
      </c>
      <c r="O85" s="9">
        <v>-20</v>
      </c>
      <c r="P85" s="9">
        <v>-20</v>
      </c>
      <c r="Q85" s="9">
        <v>-20</v>
      </c>
      <c r="R85" s="9">
        <v>-20</v>
      </c>
      <c r="S85" s="9">
        <v>-20</v>
      </c>
      <c r="T85" s="9">
        <v>-20</v>
      </c>
      <c r="U85" s="9">
        <v>-20</v>
      </c>
      <c r="V85" s="9">
        <v>-20</v>
      </c>
      <c r="W85" s="9">
        <v>-20</v>
      </c>
      <c r="X85" s="9">
        <v>-20</v>
      </c>
      <c r="Y85" s="9">
        <v>-20</v>
      </c>
      <c r="Z85" s="9">
        <v>-20</v>
      </c>
      <c r="AA85" s="9">
        <v>-20</v>
      </c>
      <c r="AB85" s="9">
        <v>-20</v>
      </c>
      <c r="AC85" s="9">
        <v>-20</v>
      </c>
    </row>
    <row r="86" spans="1:29" x14ac:dyDescent="0.3">
      <c r="A86" s="16"/>
      <c r="B86" s="19"/>
      <c r="C86" s="20"/>
      <c r="D86" s="9" t="s">
        <v>182</v>
      </c>
      <c r="E86" s="10" t="s">
        <v>1</v>
      </c>
      <c r="F86" s="9">
        <v>16</v>
      </c>
      <c r="G86" s="9">
        <v>16</v>
      </c>
      <c r="H86" s="9">
        <v>16</v>
      </c>
      <c r="I86" s="9">
        <v>16</v>
      </c>
      <c r="J86" s="9">
        <v>16</v>
      </c>
      <c r="K86" s="9">
        <v>16</v>
      </c>
      <c r="L86" s="9">
        <v>16</v>
      </c>
      <c r="M86" s="9">
        <v>16</v>
      </c>
      <c r="N86" s="9">
        <v>16</v>
      </c>
      <c r="O86" s="9">
        <v>16</v>
      </c>
      <c r="P86" s="9">
        <v>16</v>
      </c>
      <c r="Q86" s="9">
        <v>16</v>
      </c>
      <c r="R86" s="9">
        <v>16</v>
      </c>
      <c r="S86" s="9">
        <v>16</v>
      </c>
      <c r="T86" s="9">
        <v>16</v>
      </c>
      <c r="U86" s="9">
        <v>16</v>
      </c>
      <c r="V86" s="9">
        <v>16</v>
      </c>
      <c r="W86" s="9">
        <v>16</v>
      </c>
      <c r="X86" s="9">
        <v>16</v>
      </c>
      <c r="Y86" s="9">
        <v>16</v>
      </c>
      <c r="Z86" s="9">
        <v>16</v>
      </c>
      <c r="AA86" s="9">
        <v>16</v>
      </c>
      <c r="AB86" s="9">
        <v>16</v>
      </c>
      <c r="AC86" s="9">
        <v>16</v>
      </c>
    </row>
    <row r="87" spans="1:29" x14ac:dyDescent="0.3">
      <c r="A87" s="16"/>
      <c r="B87" s="19"/>
      <c r="C87" s="20"/>
      <c r="D87" s="9" t="s">
        <v>183</v>
      </c>
      <c r="E87" s="10" t="s">
        <v>1</v>
      </c>
      <c r="F87" s="9">
        <v>16</v>
      </c>
      <c r="G87" s="9">
        <v>16</v>
      </c>
      <c r="H87" s="9">
        <v>16</v>
      </c>
      <c r="I87" s="9">
        <v>16</v>
      </c>
      <c r="J87" s="9">
        <v>16</v>
      </c>
      <c r="K87" s="9">
        <v>16</v>
      </c>
      <c r="L87" s="9">
        <v>16</v>
      </c>
      <c r="M87" s="9">
        <v>16</v>
      </c>
      <c r="N87" s="9">
        <v>16</v>
      </c>
      <c r="O87" s="9">
        <v>16</v>
      </c>
      <c r="P87" s="9">
        <v>16</v>
      </c>
      <c r="Q87" s="9">
        <v>16</v>
      </c>
      <c r="R87" s="9">
        <v>16</v>
      </c>
      <c r="S87" s="9">
        <v>16</v>
      </c>
      <c r="T87" s="9">
        <v>16</v>
      </c>
      <c r="U87" s="9">
        <v>16</v>
      </c>
      <c r="V87" s="9">
        <v>16</v>
      </c>
      <c r="W87" s="9">
        <v>16</v>
      </c>
      <c r="X87" s="9">
        <v>16</v>
      </c>
      <c r="Y87" s="9">
        <v>16</v>
      </c>
      <c r="Z87" s="9">
        <v>16</v>
      </c>
      <c r="AA87" s="9">
        <v>16</v>
      </c>
      <c r="AB87" s="9">
        <v>16</v>
      </c>
      <c r="AC87" s="9">
        <v>16</v>
      </c>
    </row>
    <row r="88" spans="1:29" x14ac:dyDescent="0.3">
      <c r="A88" s="16"/>
      <c r="B88" s="19"/>
      <c r="C88" s="20"/>
      <c r="D88" s="9" t="s">
        <v>184</v>
      </c>
      <c r="E88" s="10" t="s">
        <v>1</v>
      </c>
      <c r="F88" s="9">
        <v>50</v>
      </c>
      <c r="G88" s="9">
        <v>50</v>
      </c>
      <c r="H88" s="9">
        <v>50</v>
      </c>
      <c r="I88" s="9">
        <v>50</v>
      </c>
      <c r="J88" s="9">
        <v>50</v>
      </c>
      <c r="K88" s="9">
        <v>50</v>
      </c>
      <c r="L88" s="9">
        <v>50</v>
      </c>
      <c r="M88" s="9">
        <v>50</v>
      </c>
      <c r="N88" s="9">
        <v>50</v>
      </c>
      <c r="O88" s="9">
        <v>50</v>
      </c>
      <c r="P88" s="9">
        <v>50</v>
      </c>
      <c r="Q88" s="9">
        <v>50</v>
      </c>
      <c r="R88" s="9">
        <v>50</v>
      </c>
      <c r="S88" s="9">
        <v>50</v>
      </c>
      <c r="T88" s="9">
        <v>50</v>
      </c>
      <c r="U88" s="9">
        <v>50</v>
      </c>
      <c r="V88" s="9">
        <v>50</v>
      </c>
      <c r="W88" s="9">
        <v>50</v>
      </c>
      <c r="X88" s="9">
        <v>50</v>
      </c>
      <c r="Y88" s="9">
        <v>50</v>
      </c>
      <c r="Z88" s="9">
        <v>50</v>
      </c>
      <c r="AA88" s="9">
        <v>50</v>
      </c>
      <c r="AB88" s="9">
        <v>50</v>
      </c>
      <c r="AC88" s="9">
        <v>50</v>
      </c>
    </row>
    <row r="89" spans="1:29" x14ac:dyDescent="0.3">
      <c r="A89" s="16"/>
      <c r="B89" s="19"/>
      <c r="C89" s="20"/>
      <c r="D89" s="9" t="s">
        <v>233</v>
      </c>
      <c r="E89" s="10" t="s">
        <v>1</v>
      </c>
      <c r="F89" s="9">
        <v>28</v>
      </c>
      <c r="G89" s="9">
        <v>28</v>
      </c>
      <c r="H89" s="9">
        <v>28</v>
      </c>
      <c r="I89" s="9">
        <v>28</v>
      </c>
      <c r="J89" s="9">
        <v>28</v>
      </c>
      <c r="K89" s="9">
        <v>28</v>
      </c>
      <c r="L89" s="9">
        <v>28</v>
      </c>
      <c r="M89" s="9">
        <v>28</v>
      </c>
      <c r="N89" s="9">
        <v>28</v>
      </c>
      <c r="O89" s="9">
        <v>28</v>
      </c>
      <c r="P89" s="9">
        <v>28</v>
      </c>
      <c r="Q89" s="9">
        <v>28</v>
      </c>
      <c r="R89" s="9">
        <v>28</v>
      </c>
      <c r="S89" s="9">
        <v>28</v>
      </c>
      <c r="T89" s="9">
        <v>28</v>
      </c>
      <c r="U89" s="9">
        <v>28</v>
      </c>
      <c r="V89" s="9">
        <v>28</v>
      </c>
      <c r="W89" s="9">
        <v>28</v>
      </c>
      <c r="X89" s="9">
        <v>28</v>
      </c>
      <c r="Y89" s="9">
        <v>28</v>
      </c>
      <c r="Z89" s="9">
        <v>28</v>
      </c>
      <c r="AA89" s="9">
        <v>28</v>
      </c>
      <c r="AB89" s="9">
        <v>28</v>
      </c>
      <c r="AC89" s="9">
        <v>28</v>
      </c>
    </row>
    <row r="90" spans="1:29" x14ac:dyDescent="0.3">
      <c r="A90" s="16"/>
      <c r="B90" s="19"/>
      <c r="C90" s="20"/>
      <c r="D90" s="9" t="s">
        <v>186</v>
      </c>
      <c r="E90" s="10" t="s">
        <v>1</v>
      </c>
      <c r="F90" s="9">
        <v>28</v>
      </c>
      <c r="G90" s="9">
        <v>28</v>
      </c>
      <c r="H90" s="9">
        <v>28</v>
      </c>
      <c r="I90" s="9">
        <v>28</v>
      </c>
      <c r="J90" s="9">
        <v>28</v>
      </c>
      <c r="K90" s="9">
        <v>28</v>
      </c>
      <c r="L90" s="9">
        <v>28</v>
      </c>
      <c r="M90" s="9">
        <v>28</v>
      </c>
      <c r="N90" s="9">
        <v>28</v>
      </c>
      <c r="O90" s="9">
        <v>28</v>
      </c>
      <c r="P90" s="9">
        <v>28</v>
      </c>
      <c r="Q90" s="9">
        <v>28</v>
      </c>
      <c r="R90" s="9">
        <v>28</v>
      </c>
      <c r="S90" s="9">
        <v>28</v>
      </c>
      <c r="T90" s="9">
        <v>28</v>
      </c>
      <c r="U90" s="9">
        <v>28</v>
      </c>
      <c r="V90" s="9">
        <v>28</v>
      </c>
      <c r="W90" s="9">
        <v>28</v>
      </c>
      <c r="X90" s="9">
        <v>28</v>
      </c>
      <c r="Y90" s="9">
        <v>28</v>
      </c>
      <c r="Z90" s="9">
        <v>28</v>
      </c>
      <c r="AA90" s="9">
        <v>28</v>
      </c>
      <c r="AB90" s="9">
        <v>28</v>
      </c>
      <c r="AC90" s="9">
        <v>28</v>
      </c>
    </row>
    <row r="91" spans="1:29" x14ac:dyDescent="0.3">
      <c r="A91" s="16"/>
      <c r="B91" s="19"/>
      <c r="C91" s="20"/>
      <c r="D91" s="9" t="s">
        <v>187</v>
      </c>
      <c r="E91" s="10" t="s">
        <v>5</v>
      </c>
      <c r="F91" s="9">
        <v>0.95</v>
      </c>
      <c r="G91" s="9">
        <v>0.95</v>
      </c>
      <c r="H91" s="9">
        <v>0.95</v>
      </c>
      <c r="I91" s="9">
        <v>0.95</v>
      </c>
      <c r="J91" s="9">
        <v>0.95</v>
      </c>
      <c r="K91" s="9">
        <v>0.95</v>
      </c>
      <c r="L91" s="9">
        <v>0.95</v>
      </c>
      <c r="M91" s="9">
        <v>0.95</v>
      </c>
      <c r="N91" s="9">
        <v>0.95</v>
      </c>
      <c r="O91" s="9">
        <v>0.95</v>
      </c>
      <c r="P91" s="9">
        <v>0.95</v>
      </c>
      <c r="Q91" s="9">
        <v>0.95</v>
      </c>
      <c r="R91" s="9">
        <v>0.95</v>
      </c>
      <c r="S91" s="9">
        <v>0.95</v>
      </c>
      <c r="T91" s="9">
        <v>0.95</v>
      </c>
      <c r="U91" s="9">
        <v>0.95</v>
      </c>
      <c r="V91" s="9">
        <v>0.95</v>
      </c>
      <c r="W91" s="9">
        <v>0.95</v>
      </c>
      <c r="X91" s="9">
        <v>0.95</v>
      </c>
      <c r="Y91" s="9">
        <v>0.95</v>
      </c>
      <c r="Z91" s="9">
        <v>0.95</v>
      </c>
      <c r="AA91" s="9">
        <v>0.95</v>
      </c>
      <c r="AB91" s="9">
        <v>0.95</v>
      </c>
      <c r="AC91" s="9">
        <v>0.95</v>
      </c>
    </row>
    <row r="92" spans="1:29" x14ac:dyDescent="0.3">
      <c r="A92" s="16"/>
      <c r="B92" s="19"/>
      <c r="C92" s="20"/>
      <c r="D92" s="9" t="s">
        <v>188</v>
      </c>
      <c r="E92" s="10" t="s">
        <v>5</v>
      </c>
      <c r="F92" s="9">
        <v>0.95</v>
      </c>
      <c r="G92" s="9">
        <v>0.95</v>
      </c>
      <c r="H92" s="9">
        <v>0.95</v>
      </c>
      <c r="I92" s="9">
        <v>0.95</v>
      </c>
      <c r="J92" s="9">
        <v>0.95</v>
      </c>
      <c r="K92" s="9">
        <v>0.95</v>
      </c>
      <c r="L92" s="9">
        <v>0.95</v>
      </c>
      <c r="M92" s="9">
        <v>0.95</v>
      </c>
      <c r="N92" s="9">
        <v>0.95</v>
      </c>
      <c r="O92" s="9">
        <v>0.95</v>
      </c>
      <c r="P92" s="9">
        <v>0.95</v>
      </c>
      <c r="Q92" s="9">
        <v>0.95</v>
      </c>
      <c r="R92" s="9">
        <v>0.95</v>
      </c>
      <c r="S92" s="9">
        <v>0.95</v>
      </c>
      <c r="T92" s="9">
        <v>0.95</v>
      </c>
      <c r="U92" s="9">
        <v>0.95</v>
      </c>
      <c r="V92" s="9">
        <v>0.95</v>
      </c>
      <c r="W92" s="9">
        <v>0.95</v>
      </c>
      <c r="X92" s="9">
        <v>0.95</v>
      </c>
      <c r="Y92" s="9">
        <v>0.95</v>
      </c>
      <c r="Z92" s="9">
        <v>0.95</v>
      </c>
      <c r="AA92" s="9">
        <v>0.95</v>
      </c>
      <c r="AB92" s="9">
        <v>0.95</v>
      </c>
      <c r="AC92" s="9">
        <v>0.95</v>
      </c>
    </row>
    <row r="93" spans="1:29" x14ac:dyDescent="0.3">
      <c r="A93" s="16"/>
      <c r="B93" s="19"/>
      <c r="C93" s="20"/>
      <c r="D93" s="9" t="s">
        <v>189</v>
      </c>
      <c r="E93" s="10" t="s">
        <v>5</v>
      </c>
      <c r="F93" s="9">
        <v>0.95</v>
      </c>
      <c r="G93" s="9">
        <v>0.95</v>
      </c>
      <c r="H93" s="9">
        <v>0.95</v>
      </c>
      <c r="I93" s="9">
        <v>0.95</v>
      </c>
      <c r="J93" s="9">
        <v>0.95</v>
      </c>
      <c r="K93" s="9">
        <v>0.95</v>
      </c>
      <c r="L93" s="9">
        <v>0.95</v>
      </c>
      <c r="M93" s="9">
        <v>0.95</v>
      </c>
      <c r="N93" s="9">
        <v>0.95</v>
      </c>
      <c r="O93" s="9">
        <v>0.95</v>
      </c>
      <c r="P93" s="9">
        <v>0.95</v>
      </c>
      <c r="Q93" s="9">
        <v>0.95</v>
      </c>
      <c r="R93" s="9">
        <v>0.95</v>
      </c>
      <c r="S93" s="9">
        <v>0.95</v>
      </c>
      <c r="T93" s="9">
        <v>0.95</v>
      </c>
      <c r="U93" s="9">
        <v>0.95</v>
      </c>
      <c r="V93" s="9">
        <v>0.95</v>
      </c>
      <c r="W93" s="9">
        <v>0.95</v>
      </c>
      <c r="X93" s="9">
        <v>0.95</v>
      </c>
      <c r="Y93" s="9">
        <v>0.95</v>
      </c>
      <c r="Z93" s="9">
        <v>0.95</v>
      </c>
      <c r="AA93" s="9">
        <v>0.95</v>
      </c>
      <c r="AB93" s="9">
        <v>0.95</v>
      </c>
      <c r="AC93" s="9">
        <v>0.95</v>
      </c>
    </row>
    <row r="94" spans="1:29" x14ac:dyDescent="0.3">
      <c r="A94" s="16"/>
      <c r="B94" s="19"/>
      <c r="C94" s="20"/>
      <c r="D94" s="9" t="s">
        <v>190</v>
      </c>
      <c r="E94" s="10" t="s">
        <v>5</v>
      </c>
      <c r="F94" s="9">
        <v>0.95</v>
      </c>
      <c r="G94" s="9">
        <v>0.95</v>
      </c>
      <c r="H94" s="9">
        <v>0.95</v>
      </c>
      <c r="I94" s="9">
        <v>0.95</v>
      </c>
      <c r="J94" s="9">
        <v>0.95</v>
      </c>
      <c r="K94" s="9">
        <v>0.95</v>
      </c>
      <c r="L94" s="9">
        <v>0.95</v>
      </c>
      <c r="M94" s="9">
        <v>0.95</v>
      </c>
      <c r="N94" s="9">
        <v>0.95</v>
      </c>
      <c r="O94" s="9">
        <v>0.95</v>
      </c>
      <c r="P94" s="9">
        <v>0.95</v>
      </c>
      <c r="Q94" s="9">
        <v>0.95</v>
      </c>
      <c r="R94" s="9">
        <v>0.95</v>
      </c>
      <c r="S94" s="9">
        <v>0.95</v>
      </c>
      <c r="T94" s="9">
        <v>0.95</v>
      </c>
      <c r="U94" s="9">
        <v>0.95</v>
      </c>
      <c r="V94" s="9">
        <v>0.95</v>
      </c>
      <c r="W94" s="9">
        <v>0.95</v>
      </c>
      <c r="X94" s="9">
        <v>0.95</v>
      </c>
      <c r="Y94" s="9">
        <v>0.95</v>
      </c>
      <c r="Z94" s="9">
        <v>0.95</v>
      </c>
      <c r="AA94" s="9">
        <v>0.95</v>
      </c>
      <c r="AB94" s="9">
        <v>0.95</v>
      </c>
      <c r="AC94" s="9">
        <v>0.95</v>
      </c>
    </row>
    <row r="95" spans="1:29" x14ac:dyDescent="0.3">
      <c r="A95" s="16"/>
      <c r="B95" s="19"/>
      <c r="C95" s="20"/>
      <c r="D95" s="9" t="s">
        <v>191</v>
      </c>
      <c r="E95" s="10" t="s">
        <v>5</v>
      </c>
      <c r="F95" s="9">
        <v>0.95</v>
      </c>
      <c r="G95" s="9">
        <v>0.95</v>
      </c>
      <c r="H95" s="9">
        <v>0.95</v>
      </c>
      <c r="I95" s="9">
        <v>0.95</v>
      </c>
      <c r="J95" s="9">
        <v>0.95</v>
      </c>
      <c r="K95" s="9">
        <v>0.95</v>
      </c>
      <c r="L95" s="9">
        <v>0.95</v>
      </c>
      <c r="M95" s="9">
        <v>0.95</v>
      </c>
      <c r="N95" s="9">
        <v>0.95</v>
      </c>
      <c r="O95" s="9">
        <v>0.95</v>
      </c>
      <c r="P95" s="9">
        <v>0.95</v>
      </c>
      <c r="Q95" s="9">
        <v>0.95</v>
      </c>
      <c r="R95" s="9">
        <v>0.95</v>
      </c>
      <c r="S95" s="9">
        <v>0.95</v>
      </c>
      <c r="T95" s="9">
        <v>0.95</v>
      </c>
      <c r="U95" s="9">
        <v>0.95</v>
      </c>
      <c r="V95" s="9">
        <v>0.95</v>
      </c>
      <c r="W95" s="9">
        <v>0.95</v>
      </c>
      <c r="X95" s="9">
        <v>0.95</v>
      </c>
      <c r="Y95" s="9">
        <v>0.95</v>
      </c>
      <c r="Z95" s="9">
        <v>0.95</v>
      </c>
      <c r="AA95" s="9">
        <v>0.95</v>
      </c>
      <c r="AB95" s="9">
        <v>0.95</v>
      </c>
      <c r="AC95" s="9">
        <v>0.95</v>
      </c>
    </row>
    <row r="96" spans="1:29" x14ac:dyDescent="0.3">
      <c r="A96" s="16"/>
      <c r="B96" s="19"/>
      <c r="C96" s="20"/>
      <c r="D96" s="9" t="s">
        <v>373</v>
      </c>
      <c r="E96" s="10" t="s">
        <v>5</v>
      </c>
      <c r="F96" s="9">
        <v>0.95</v>
      </c>
      <c r="G96" s="9">
        <v>0.95</v>
      </c>
      <c r="H96" s="9">
        <v>0.95</v>
      </c>
      <c r="I96" s="9">
        <v>0.95</v>
      </c>
      <c r="J96" s="9">
        <v>0.95</v>
      </c>
      <c r="K96" s="9">
        <v>0.95</v>
      </c>
      <c r="L96" s="9">
        <v>0.95</v>
      </c>
      <c r="M96" s="9">
        <v>0.95</v>
      </c>
      <c r="N96" s="9">
        <v>0.95</v>
      </c>
      <c r="O96" s="9">
        <v>0.95</v>
      </c>
      <c r="P96" s="9">
        <v>0.95</v>
      </c>
      <c r="Q96" s="9">
        <v>0.95</v>
      </c>
      <c r="R96" s="9">
        <v>0.95</v>
      </c>
      <c r="S96" s="9">
        <v>0.95</v>
      </c>
      <c r="T96" s="9">
        <v>0.95</v>
      </c>
      <c r="U96" s="9">
        <v>0.95</v>
      </c>
      <c r="V96" s="9">
        <v>0.95</v>
      </c>
      <c r="W96" s="9">
        <v>0.95</v>
      </c>
      <c r="X96" s="9">
        <v>0.95</v>
      </c>
      <c r="Y96" s="9">
        <v>0.95</v>
      </c>
      <c r="Z96" s="9">
        <v>0.95</v>
      </c>
      <c r="AA96" s="9">
        <v>0.95</v>
      </c>
      <c r="AB96" s="9">
        <v>0.95</v>
      </c>
      <c r="AC96" s="9">
        <v>0.95</v>
      </c>
    </row>
    <row r="97" spans="1:29" x14ac:dyDescent="0.3">
      <c r="A97" s="16"/>
      <c r="B97" s="19"/>
      <c r="C97" s="20"/>
      <c r="D97" s="9" t="s">
        <v>374</v>
      </c>
      <c r="E97" s="1" t="s">
        <v>12</v>
      </c>
      <c r="F97" s="9">
        <v>189</v>
      </c>
      <c r="G97" s="9">
        <v>189</v>
      </c>
      <c r="H97" s="9">
        <v>189</v>
      </c>
      <c r="I97" s="9">
        <v>189</v>
      </c>
      <c r="J97" s="9">
        <v>189</v>
      </c>
      <c r="K97" s="9">
        <v>189</v>
      </c>
      <c r="L97" s="9">
        <v>189</v>
      </c>
      <c r="M97" s="9">
        <v>189</v>
      </c>
      <c r="N97" s="9">
        <v>189</v>
      </c>
      <c r="O97" s="9">
        <v>189</v>
      </c>
      <c r="P97" s="9">
        <v>189</v>
      </c>
      <c r="Q97" s="9">
        <v>189</v>
      </c>
      <c r="R97" s="9">
        <v>189</v>
      </c>
      <c r="S97" s="9">
        <v>189</v>
      </c>
      <c r="T97" s="9">
        <v>189</v>
      </c>
      <c r="U97" s="9">
        <v>189</v>
      </c>
      <c r="V97" s="9">
        <v>189</v>
      </c>
      <c r="W97" s="9">
        <v>189</v>
      </c>
      <c r="X97" s="9">
        <v>189</v>
      </c>
      <c r="Y97" s="9">
        <v>189</v>
      </c>
      <c r="Z97" s="9">
        <v>189</v>
      </c>
      <c r="AA97" s="9">
        <v>189</v>
      </c>
      <c r="AB97" s="9">
        <v>189</v>
      </c>
      <c r="AC97" s="9">
        <v>189</v>
      </c>
    </row>
    <row r="98" spans="1:29" x14ac:dyDescent="0.3">
      <c r="A98" s="16"/>
      <c r="B98" s="19"/>
      <c r="C98" s="20"/>
      <c r="D98" s="9" t="s">
        <v>375</v>
      </c>
      <c r="E98" s="1" t="s">
        <v>12</v>
      </c>
      <c r="F98" s="9">
        <v>189</v>
      </c>
      <c r="G98" s="9">
        <v>189</v>
      </c>
      <c r="H98" s="9">
        <v>189</v>
      </c>
      <c r="I98" s="9">
        <v>189</v>
      </c>
      <c r="J98" s="9">
        <v>189</v>
      </c>
      <c r="K98" s="9">
        <v>189</v>
      </c>
      <c r="L98" s="9">
        <v>189</v>
      </c>
      <c r="M98" s="9">
        <v>189</v>
      </c>
      <c r="N98" s="9">
        <v>189</v>
      </c>
      <c r="O98" s="9">
        <v>189</v>
      </c>
      <c r="P98" s="9">
        <v>189</v>
      </c>
      <c r="Q98" s="9">
        <v>189</v>
      </c>
      <c r="R98" s="9">
        <v>189</v>
      </c>
      <c r="S98" s="9">
        <v>189</v>
      </c>
      <c r="T98" s="9">
        <v>189</v>
      </c>
      <c r="U98" s="9">
        <v>189</v>
      </c>
      <c r="V98" s="9">
        <v>189</v>
      </c>
      <c r="W98" s="9">
        <v>189</v>
      </c>
      <c r="X98" s="9">
        <v>189</v>
      </c>
      <c r="Y98" s="9">
        <v>189</v>
      </c>
      <c r="Z98" s="9">
        <v>189</v>
      </c>
      <c r="AA98" s="9">
        <v>189</v>
      </c>
      <c r="AB98" s="9">
        <v>189</v>
      </c>
      <c r="AC98" s="9">
        <v>189</v>
      </c>
    </row>
    <row r="99" spans="1:29" x14ac:dyDescent="0.3">
      <c r="A99" s="16"/>
      <c r="B99" s="19"/>
      <c r="C99" s="20"/>
      <c r="D99" s="9" t="s">
        <v>702</v>
      </c>
      <c r="E99" s="10" t="s">
        <v>4</v>
      </c>
      <c r="F99" s="9">
        <v>1</v>
      </c>
      <c r="G99" s="9">
        <v>1</v>
      </c>
      <c r="H99" s="9">
        <v>1</v>
      </c>
      <c r="I99" s="9">
        <v>1</v>
      </c>
      <c r="J99" s="9">
        <v>1</v>
      </c>
      <c r="K99" s="9">
        <v>1</v>
      </c>
      <c r="L99" s="9">
        <v>1</v>
      </c>
      <c r="M99" s="9">
        <v>1</v>
      </c>
      <c r="N99" s="9">
        <v>1</v>
      </c>
      <c r="O99" s="9">
        <v>1</v>
      </c>
      <c r="P99" s="9">
        <v>1</v>
      </c>
      <c r="Q99" s="9">
        <v>1</v>
      </c>
      <c r="R99" s="9">
        <v>1</v>
      </c>
      <c r="S99" s="9">
        <v>1</v>
      </c>
      <c r="T99" s="9">
        <v>1</v>
      </c>
      <c r="U99" s="9">
        <v>1</v>
      </c>
      <c r="V99" s="9">
        <v>1</v>
      </c>
      <c r="W99" s="9">
        <v>1</v>
      </c>
      <c r="X99" s="9">
        <v>1</v>
      </c>
      <c r="Y99" s="9">
        <v>1</v>
      </c>
      <c r="Z99" s="9">
        <v>1</v>
      </c>
      <c r="AA99" s="9">
        <v>1</v>
      </c>
      <c r="AB99" s="9">
        <v>1</v>
      </c>
      <c r="AC99" s="9">
        <v>1</v>
      </c>
    </row>
    <row r="100" spans="1:29" x14ac:dyDescent="0.3">
      <c r="A100" s="16"/>
      <c r="B100" s="19"/>
      <c r="C100" s="20"/>
      <c r="D100" s="9" t="s">
        <v>701</v>
      </c>
      <c r="E100" s="10" t="s">
        <v>4</v>
      </c>
      <c r="F100" s="9">
        <v>1</v>
      </c>
      <c r="G100" s="9">
        <v>1</v>
      </c>
      <c r="H100" s="9">
        <v>1</v>
      </c>
      <c r="I100" s="9">
        <v>1</v>
      </c>
      <c r="J100" s="9">
        <v>1</v>
      </c>
      <c r="K100" s="9">
        <v>1</v>
      </c>
      <c r="L100" s="9">
        <v>1</v>
      </c>
      <c r="M100" s="9">
        <v>1</v>
      </c>
      <c r="N100" s="9">
        <v>1</v>
      </c>
      <c r="O100" s="9">
        <v>1</v>
      </c>
      <c r="P100" s="9">
        <v>1</v>
      </c>
      <c r="Q100" s="9">
        <v>1</v>
      </c>
      <c r="R100" s="9">
        <v>1</v>
      </c>
      <c r="S100" s="9">
        <v>1</v>
      </c>
      <c r="T100" s="9">
        <v>1</v>
      </c>
      <c r="U100" s="9">
        <v>1</v>
      </c>
      <c r="V100" s="9">
        <v>1</v>
      </c>
      <c r="W100" s="9">
        <v>1</v>
      </c>
      <c r="X100" s="9">
        <v>1</v>
      </c>
      <c r="Y100" s="9">
        <v>1</v>
      </c>
      <c r="Z100" s="9">
        <v>1</v>
      </c>
      <c r="AA100" s="9">
        <v>1</v>
      </c>
      <c r="AB100" s="9">
        <v>1</v>
      </c>
      <c r="AC100" s="9">
        <v>1</v>
      </c>
    </row>
    <row r="101" spans="1:29" x14ac:dyDescent="0.3">
      <c r="A101" s="16"/>
      <c r="B101" s="19"/>
      <c r="C101" s="20"/>
      <c r="D101" s="9" t="s">
        <v>703</v>
      </c>
      <c r="E101" s="10" t="s">
        <v>4</v>
      </c>
      <c r="F101" s="9">
        <v>1</v>
      </c>
      <c r="G101" s="9">
        <v>1</v>
      </c>
      <c r="H101" s="9">
        <v>1</v>
      </c>
      <c r="I101" s="9">
        <v>1</v>
      </c>
      <c r="J101" s="9">
        <v>1</v>
      </c>
      <c r="K101" s="9">
        <v>1</v>
      </c>
      <c r="L101" s="9">
        <v>1</v>
      </c>
      <c r="M101" s="9">
        <v>1</v>
      </c>
      <c r="N101" s="9">
        <v>1</v>
      </c>
      <c r="O101" s="9">
        <v>1</v>
      </c>
      <c r="P101" s="9">
        <v>1</v>
      </c>
      <c r="Q101" s="9">
        <v>1</v>
      </c>
      <c r="R101" s="9">
        <v>1</v>
      </c>
      <c r="S101" s="9">
        <v>1</v>
      </c>
      <c r="T101" s="9">
        <v>1</v>
      </c>
      <c r="U101" s="9">
        <v>1</v>
      </c>
      <c r="V101" s="9">
        <v>1</v>
      </c>
      <c r="W101" s="9">
        <v>1</v>
      </c>
      <c r="X101" s="9">
        <v>1</v>
      </c>
      <c r="Y101" s="9">
        <v>1</v>
      </c>
      <c r="Z101" s="9">
        <v>1</v>
      </c>
      <c r="AA101" s="9">
        <v>1</v>
      </c>
      <c r="AB101" s="9">
        <v>1</v>
      </c>
      <c r="AC101" s="9">
        <v>1</v>
      </c>
    </row>
    <row r="102" spans="1:29" x14ac:dyDescent="0.3">
      <c r="A102" s="16"/>
      <c r="B102" s="19"/>
      <c r="C102" s="17" t="s">
        <v>915</v>
      </c>
      <c r="D102" s="9" t="s">
        <v>990</v>
      </c>
      <c r="E102" s="10" t="s">
        <v>1</v>
      </c>
      <c r="F102" s="9">
        <v>-20</v>
      </c>
      <c r="G102" s="9">
        <v>-20</v>
      </c>
      <c r="H102" s="9">
        <v>-20</v>
      </c>
      <c r="I102" s="9">
        <v>-20</v>
      </c>
      <c r="J102" s="9">
        <v>-20</v>
      </c>
      <c r="K102" s="9">
        <v>-20</v>
      </c>
      <c r="L102" s="9">
        <v>-20</v>
      </c>
      <c r="M102" s="9">
        <v>-20</v>
      </c>
      <c r="N102" s="9">
        <v>-20</v>
      </c>
      <c r="O102" s="9">
        <v>-20</v>
      </c>
      <c r="P102" s="9">
        <v>-20</v>
      </c>
      <c r="Q102" s="9">
        <v>-20</v>
      </c>
      <c r="R102" s="9">
        <v>-20</v>
      </c>
      <c r="S102" s="9">
        <v>-20</v>
      </c>
      <c r="T102" s="9">
        <v>-20</v>
      </c>
      <c r="U102" s="9">
        <v>-20</v>
      </c>
      <c r="V102" s="9">
        <v>-20</v>
      </c>
      <c r="W102" s="9">
        <v>-20</v>
      </c>
      <c r="X102" s="9">
        <v>-20</v>
      </c>
      <c r="Y102" s="9">
        <v>-20</v>
      </c>
      <c r="Z102" s="9">
        <v>-20</v>
      </c>
      <c r="AA102" s="9">
        <v>-20</v>
      </c>
      <c r="AB102" s="9">
        <v>-20</v>
      </c>
      <c r="AC102" s="9">
        <v>-20</v>
      </c>
    </row>
    <row r="103" spans="1:29" x14ac:dyDescent="0.3">
      <c r="A103" s="16"/>
      <c r="B103" s="19"/>
      <c r="C103" s="18"/>
      <c r="D103" s="9" t="s">
        <v>989</v>
      </c>
      <c r="E103" s="10" t="s">
        <v>1</v>
      </c>
      <c r="F103" s="9">
        <v>5</v>
      </c>
      <c r="G103" s="9">
        <v>5</v>
      </c>
      <c r="H103" s="9">
        <v>5</v>
      </c>
      <c r="I103" s="9">
        <v>5</v>
      </c>
      <c r="J103" s="9">
        <v>12</v>
      </c>
      <c r="K103" s="9">
        <v>16</v>
      </c>
      <c r="L103" s="9">
        <v>18</v>
      </c>
      <c r="M103" s="9">
        <v>18</v>
      </c>
      <c r="N103" s="9">
        <v>18</v>
      </c>
      <c r="O103" s="9">
        <v>18</v>
      </c>
      <c r="P103" s="9">
        <v>18</v>
      </c>
      <c r="Q103" s="9">
        <v>18</v>
      </c>
      <c r="R103" s="9">
        <v>18</v>
      </c>
      <c r="S103" s="9">
        <v>18</v>
      </c>
      <c r="T103" s="9">
        <v>18</v>
      </c>
      <c r="U103" s="9">
        <v>18</v>
      </c>
      <c r="V103" s="9">
        <v>18</v>
      </c>
      <c r="W103" s="9">
        <v>18</v>
      </c>
      <c r="X103" s="9">
        <v>18</v>
      </c>
      <c r="Y103" s="9">
        <v>18</v>
      </c>
      <c r="Z103" s="9">
        <v>18</v>
      </c>
      <c r="AA103" s="9">
        <v>18</v>
      </c>
      <c r="AB103" s="9">
        <v>18</v>
      </c>
      <c r="AC103" s="9">
        <v>16</v>
      </c>
    </row>
    <row r="104" spans="1:29" x14ac:dyDescent="0.3">
      <c r="A104" s="16"/>
      <c r="B104" s="19"/>
      <c r="C104" s="18"/>
      <c r="D104" s="9" t="s">
        <v>988</v>
      </c>
      <c r="E104" s="10" t="s">
        <v>1</v>
      </c>
      <c r="F104" s="9">
        <v>5</v>
      </c>
      <c r="G104" s="9">
        <v>5</v>
      </c>
      <c r="H104" s="9">
        <v>5</v>
      </c>
      <c r="I104" s="9">
        <v>5</v>
      </c>
      <c r="J104" s="9">
        <v>12</v>
      </c>
      <c r="K104" s="9">
        <v>16</v>
      </c>
      <c r="L104" s="9">
        <v>18</v>
      </c>
      <c r="M104" s="9">
        <v>18</v>
      </c>
      <c r="N104" s="9">
        <v>18</v>
      </c>
      <c r="O104" s="9">
        <v>18</v>
      </c>
      <c r="P104" s="9">
        <v>18</v>
      </c>
      <c r="Q104" s="9">
        <v>18</v>
      </c>
      <c r="R104" s="9">
        <v>18</v>
      </c>
      <c r="S104" s="9">
        <v>18</v>
      </c>
      <c r="T104" s="9">
        <v>18</v>
      </c>
      <c r="U104" s="9">
        <v>18</v>
      </c>
      <c r="V104" s="9">
        <v>18</v>
      </c>
      <c r="W104" s="9">
        <v>18</v>
      </c>
      <c r="X104" s="9">
        <v>18</v>
      </c>
      <c r="Y104" s="9">
        <v>18</v>
      </c>
      <c r="Z104" s="9">
        <v>18</v>
      </c>
      <c r="AA104" s="9">
        <v>18</v>
      </c>
      <c r="AB104" s="9">
        <v>18</v>
      </c>
      <c r="AC104" s="9">
        <v>16</v>
      </c>
    </row>
    <row r="105" spans="1:29" x14ac:dyDescent="0.3">
      <c r="A105" s="16"/>
      <c r="B105" s="19"/>
      <c r="C105" s="18"/>
      <c r="D105" s="9" t="s">
        <v>987</v>
      </c>
      <c r="E105" s="10" t="s">
        <v>1</v>
      </c>
      <c r="F105" s="9">
        <v>50</v>
      </c>
      <c r="G105" s="9">
        <v>50</v>
      </c>
      <c r="H105" s="9">
        <v>50</v>
      </c>
      <c r="I105" s="9">
        <v>50</v>
      </c>
      <c r="J105" s="9">
        <v>50</v>
      </c>
      <c r="K105" s="9">
        <v>50</v>
      </c>
      <c r="L105" s="9">
        <v>50</v>
      </c>
      <c r="M105" s="9">
        <v>50</v>
      </c>
      <c r="N105" s="9">
        <v>50</v>
      </c>
      <c r="O105" s="9">
        <v>50</v>
      </c>
      <c r="P105" s="9">
        <v>50</v>
      </c>
      <c r="Q105" s="9">
        <v>50</v>
      </c>
      <c r="R105" s="9">
        <v>50</v>
      </c>
      <c r="S105" s="9">
        <v>50</v>
      </c>
      <c r="T105" s="9">
        <v>50</v>
      </c>
      <c r="U105" s="9">
        <v>50</v>
      </c>
      <c r="V105" s="9">
        <v>50</v>
      </c>
      <c r="W105" s="9">
        <v>50</v>
      </c>
      <c r="X105" s="9">
        <v>50</v>
      </c>
      <c r="Y105" s="9">
        <v>50</v>
      </c>
      <c r="Z105" s="9">
        <v>50</v>
      </c>
      <c r="AA105" s="9">
        <v>50</v>
      </c>
      <c r="AB105" s="9">
        <v>50</v>
      </c>
      <c r="AC105" s="9">
        <v>50</v>
      </c>
    </row>
    <row r="106" spans="1:29" x14ac:dyDescent="0.3">
      <c r="A106" s="16"/>
      <c r="B106" s="19"/>
      <c r="C106" s="18"/>
      <c r="D106" s="9" t="s">
        <v>986</v>
      </c>
      <c r="E106" s="10" t="s">
        <v>1</v>
      </c>
      <c r="F106" s="9">
        <v>50</v>
      </c>
      <c r="G106" s="9">
        <v>50</v>
      </c>
      <c r="H106" s="9">
        <v>50</v>
      </c>
      <c r="I106" s="9">
        <v>50</v>
      </c>
      <c r="J106" s="9">
        <v>28</v>
      </c>
      <c r="K106" s="9">
        <v>26</v>
      </c>
      <c r="L106" s="9">
        <v>26</v>
      </c>
      <c r="M106" s="9">
        <v>24</v>
      </c>
      <c r="N106" s="9">
        <v>24</v>
      </c>
      <c r="O106" s="9">
        <v>24</v>
      </c>
      <c r="P106" s="9">
        <v>25</v>
      </c>
      <c r="Q106" s="9">
        <v>24</v>
      </c>
      <c r="R106" s="9">
        <v>24</v>
      </c>
      <c r="S106" s="9">
        <v>24</v>
      </c>
      <c r="T106" s="9">
        <v>24</v>
      </c>
      <c r="U106" s="9">
        <v>26</v>
      </c>
      <c r="V106" s="9">
        <v>26</v>
      </c>
      <c r="W106" s="9">
        <v>25</v>
      </c>
      <c r="X106" s="9">
        <v>24</v>
      </c>
      <c r="Y106" s="9">
        <v>24</v>
      </c>
      <c r="Z106" s="9">
        <v>25</v>
      </c>
      <c r="AA106" s="9">
        <v>26</v>
      </c>
      <c r="AB106" s="9">
        <v>26</v>
      </c>
      <c r="AC106" s="9">
        <v>28</v>
      </c>
    </row>
    <row r="107" spans="1:29" x14ac:dyDescent="0.3">
      <c r="A107" s="16"/>
      <c r="B107" s="19"/>
      <c r="C107" s="18"/>
      <c r="D107" s="9" t="s">
        <v>985</v>
      </c>
      <c r="E107" s="10" t="s">
        <v>1</v>
      </c>
      <c r="F107" s="9">
        <v>50</v>
      </c>
      <c r="G107" s="9">
        <v>50</v>
      </c>
      <c r="H107" s="9">
        <v>50</v>
      </c>
      <c r="I107" s="9">
        <v>50</v>
      </c>
      <c r="J107" s="9">
        <v>28</v>
      </c>
      <c r="K107" s="9">
        <v>26</v>
      </c>
      <c r="L107" s="9">
        <v>26</v>
      </c>
      <c r="M107" s="9">
        <v>24</v>
      </c>
      <c r="N107" s="9">
        <v>24</v>
      </c>
      <c r="O107" s="9">
        <v>24</v>
      </c>
      <c r="P107" s="9">
        <v>25</v>
      </c>
      <c r="Q107" s="9">
        <v>24</v>
      </c>
      <c r="R107" s="9">
        <v>24</v>
      </c>
      <c r="S107" s="9">
        <v>24</v>
      </c>
      <c r="T107" s="9">
        <v>24</v>
      </c>
      <c r="U107" s="9">
        <v>26</v>
      </c>
      <c r="V107" s="9">
        <v>26</v>
      </c>
      <c r="W107" s="9">
        <v>25</v>
      </c>
      <c r="X107" s="9">
        <v>24</v>
      </c>
      <c r="Y107" s="9">
        <v>24</v>
      </c>
      <c r="Z107" s="9">
        <v>25</v>
      </c>
      <c r="AA107" s="9">
        <v>26</v>
      </c>
      <c r="AB107" s="9">
        <v>26</v>
      </c>
      <c r="AC107" s="9">
        <v>28</v>
      </c>
    </row>
    <row r="108" spans="1:29" x14ac:dyDescent="0.3">
      <c r="A108" s="16"/>
      <c r="B108" s="19"/>
      <c r="C108" s="18"/>
      <c r="D108" s="9" t="s">
        <v>984</v>
      </c>
      <c r="E108" s="10" t="s">
        <v>5</v>
      </c>
      <c r="F108" s="9">
        <v>0.1</v>
      </c>
      <c r="G108" s="9">
        <v>0.1</v>
      </c>
      <c r="H108" s="9">
        <v>0.1</v>
      </c>
      <c r="I108" s="9">
        <v>0.1</v>
      </c>
      <c r="J108" s="9">
        <v>0.1</v>
      </c>
      <c r="K108" s="9">
        <v>0.5</v>
      </c>
      <c r="L108" s="9">
        <v>0.8</v>
      </c>
      <c r="M108" s="9">
        <v>1</v>
      </c>
      <c r="N108" s="9">
        <v>1</v>
      </c>
      <c r="O108" s="9">
        <v>1</v>
      </c>
      <c r="P108" s="9">
        <v>1</v>
      </c>
      <c r="Q108" s="9">
        <v>0.6</v>
      </c>
      <c r="R108" s="9">
        <v>0.7</v>
      </c>
      <c r="S108" s="9">
        <v>0.5</v>
      </c>
      <c r="T108" s="9">
        <v>0.7</v>
      </c>
      <c r="U108" s="9">
        <v>0.5</v>
      </c>
      <c r="V108" s="9">
        <v>0.5</v>
      </c>
      <c r="W108" s="9">
        <v>0.8</v>
      </c>
      <c r="X108" s="9">
        <v>1</v>
      </c>
      <c r="Y108" s="9">
        <v>1</v>
      </c>
      <c r="Z108" s="9">
        <v>1</v>
      </c>
      <c r="AA108" s="9">
        <v>1</v>
      </c>
      <c r="AB108" s="9">
        <v>1</v>
      </c>
      <c r="AC108" s="9">
        <v>0.1</v>
      </c>
    </row>
    <row r="109" spans="1:29" x14ac:dyDescent="0.3">
      <c r="A109" s="16"/>
      <c r="B109" s="19"/>
      <c r="C109" s="18"/>
      <c r="D109" s="9" t="s">
        <v>983</v>
      </c>
      <c r="E109" s="10" t="s">
        <v>5</v>
      </c>
      <c r="F109" s="9">
        <v>0.1</v>
      </c>
      <c r="G109" s="9">
        <v>0.1</v>
      </c>
      <c r="H109" s="9">
        <v>0.1</v>
      </c>
      <c r="I109" s="9">
        <v>0.1</v>
      </c>
      <c r="J109" s="9">
        <v>0.1</v>
      </c>
      <c r="K109" s="9">
        <v>0.5</v>
      </c>
      <c r="L109" s="9">
        <v>0.8</v>
      </c>
      <c r="M109" s="9">
        <v>1</v>
      </c>
      <c r="N109" s="9">
        <v>1</v>
      </c>
      <c r="O109" s="9">
        <v>1</v>
      </c>
      <c r="P109" s="9">
        <v>1</v>
      </c>
      <c r="Q109" s="9">
        <v>0.6</v>
      </c>
      <c r="R109" s="9">
        <v>0.7</v>
      </c>
      <c r="S109" s="9">
        <v>0.5</v>
      </c>
      <c r="T109" s="9">
        <v>0.7</v>
      </c>
      <c r="U109" s="9">
        <v>0.5</v>
      </c>
      <c r="V109" s="9">
        <v>0.5</v>
      </c>
      <c r="W109" s="9">
        <v>0.8</v>
      </c>
      <c r="X109" s="9">
        <v>1</v>
      </c>
      <c r="Y109" s="9">
        <v>1</v>
      </c>
      <c r="Z109" s="9">
        <v>1</v>
      </c>
      <c r="AA109" s="9">
        <v>1</v>
      </c>
      <c r="AB109" s="9">
        <v>1</v>
      </c>
      <c r="AC109" s="9">
        <v>0.1</v>
      </c>
    </row>
    <row r="110" spans="1:29" x14ac:dyDescent="0.3">
      <c r="A110" s="16"/>
      <c r="B110" s="19"/>
      <c r="C110" s="18"/>
      <c r="D110" s="9" t="s">
        <v>982</v>
      </c>
      <c r="E110" s="10" t="s">
        <v>5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0.8</v>
      </c>
      <c r="M110" s="9">
        <v>0.8</v>
      </c>
      <c r="N110" s="9">
        <v>0.8</v>
      </c>
      <c r="O110" s="9">
        <v>0.8</v>
      </c>
      <c r="P110" s="9">
        <v>0.8</v>
      </c>
      <c r="Q110" s="9">
        <v>0.8</v>
      </c>
      <c r="R110" s="9">
        <v>0.8</v>
      </c>
      <c r="S110" s="9">
        <v>0.8</v>
      </c>
      <c r="T110" s="9">
        <v>0.8</v>
      </c>
      <c r="U110" s="9">
        <v>0.8</v>
      </c>
      <c r="V110" s="9">
        <v>0.8</v>
      </c>
      <c r="W110" s="9">
        <v>0.8</v>
      </c>
      <c r="X110" s="9">
        <v>0.8</v>
      </c>
      <c r="Y110" s="9">
        <v>0.8</v>
      </c>
      <c r="Z110" s="9">
        <v>0.8</v>
      </c>
      <c r="AA110" s="9">
        <v>0.8</v>
      </c>
      <c r="AB110" s="9">
        <v>0.6</v>
      </c>
      <c r="AC110" s="9">
        <v>0</v>
      </c>
    </row>
    <row r="111" spans="1:29" x14ac:dyDescent="0.3">
      <c r="A111" s="16"/>
      <c r="B111" s="19"/>
      <c r="C111" s="18"/>
      <c r="D111" s="9" t="s">
        <v>981</v>
      </c>
      <c r="E111" s="10" t="s">
        <v>5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0.8</v>
      </c>
      <c r="M111" s="9">
        <v>0.8</v>
      </c>
      <c r="N111" s="9">
        <v>0.8</v>
      </c>
      <c r="O111" s="9">
        <v>0.8</v>
      </c>
      <c r="P111" s="9">
        <v>0.8</v>
      </c>
      <c r="Q111" s="9">
        <v>0.8</v>
      </c>
      <c r="R111" s="9">
        <v>0.8</v>
      </c>
      <c r="S111" s="9">
        <v>0.8</v>
      </c>
      <c r="T111" s="9">
        <v>0.8</v>
      </c>
      <c r="U111" s="9">
        <v>0.8</v>
      </c>
      <c r="V111" s="9">
        <v>0.8</v>
      </c>
      <c r="W111" s="9">
        <v>0.8</v>
      </c>
      <c r="X111" s="9">
        <v>0.8</v>
      </c>
      <c r="Y111" s="9">
        <v>0.8</v>
      </c>
      <c r="Z111" s="9">
        <v>0.8</v>
      </c>
      <c r="AA111" s="9">
        <v>0.8</v>
      </c>
      <c r="AB111" s="9">
        <v>0.6</v>
      </c>
      <c r="AC111" s="9">
        <v>0</v>
      </c>
    </row>
    <row r="112" spans="1:29" x14ac:dyDescent="0.3">
      <c r="A112" s="16"/>
      <c r="B112" s="19"/>
      <c r="C112" s="18"/>
      <c r="D112" s="9" t="s">
        <v>980</v>
      </c>
      <c r="E112" s="10" t="s">
        <v>5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0.8</v>
      </c>
      <c r="M112" s="9">
        <v>1</v>
      </c>
      <c r="N112" s="9">
        <v>1</v>
      </c>
      <c r="O112" s="9">
        <v>1</v>
      </c>
      <c r="P112" s="9">
        <v>0.8</v>
      </c>
      <c r="Q112" s="9">
        <v>0.5</v>
      </c>
      <c r="R112" s="9">
        <v>0.8</v>
      </c>
      <c r="S112" s="9">
        <v>0.5</v>
      </c>
      <c r="T112" s="9">
        <v>0.8</v>
      </c>
      <c r="U112" s="9">
        <v>0.5</v>
      </c>
      <c r="V112" s="9">
        <v>0.5</v>
      </c>
      <c r="W112" s="9">
        <v>1</v>
      </c>
      <c r="X112" s="9">
        <v>1</v>
      </c>
      <c r="Y112" s="9">
        <v>1</v>
      </c>
      <c r="Z112" s="9">
        <v>0.8</v>
      </c>
      <c r="AA112" s="9">
        <v>0.8</v>
      </c>
      <c r="AB112" s="9">
        <v>0.6</v>
      </c>
      <c r="AC112" s="9">
        <v>0</v>
      </c>
    </row>
    <row r="113" spans="1:29" x14ac:dyDescent="0.3">
      <c r="A113" s="16"/>
      <c r="B113" s="19"/>
      <c r="C113" s="18"/>
      <c r="D113" s="9" t="s">
        <v>979</v>
      </c>
      <c r="E113" s="10" t="s">
        <v>5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0.8</v>
      </c>
      <c r="M113" s="9">
        <v>1</v>
      </c>
      <c r="N113" s="9">
        <v>1</v>
      </c>
      <c r="O113" s="9">
        <v>1</v>
      </c>
      <c r="P113" s="9">
        <v>0.8</v>
      </c>
      <c r="Q113" s="9">
        <v>0.5</v>
      </c>
      <c r="R113" s="9">
        <v>0.8</v>
      </c>
      <c r="S113" s="9">
        <v>0.5</v>
      </c>
      <c r="T113" s="9">
        <v>0.8</v>
      </c>
      <c r="U113" s="9">
        <v>0.5</v>
      </c>
      <c r="V113" s="9">
        <v>0.5</v>
      </c>
      <c r="W113" s="9">
        <v>1</v>
      </c>
      <c r="X113" s="9">
        <v>1</v>
      </c>
      <c r="Y113" s="9">
        <v>1</v>
      </c>
      <c r="Z113" s="9">
        <v>0.8</v>
      </c>
      <c r="AA113" s="9">
        <v>0.8</v>
      </c>
      <c r="AB113" s="9">
        <v>0.6</v>
      </c>
      <c r="AC113" s="9">
        <v>0</v>
      </c>
    </row>
    <row r="114" spans="1:29" x14ac:dyDescent="0.3">
      <c r="A114" s="16"/>
      <c r="B114" s="19"/>
      <c r="C114" s="18"/>
      <c r="D114" s="9" t="s">
        <v>978</v>
      </c>
      <c r="E114" s="1" t="s">
        <v>12</v>
      </c>
      <c r="F114" s="9">
        <v>207</v>
      </c>
      <c r="G114" s="9">
        <v>207</v>
      </c>
      <c r="H114" s="9">
        <v>207</v>
      </c>
      <c r="I114" s="9">
        <v>207</v>
      </c>
      <c r="J114" s="9">
        <v>207</v>
      </c>
      <c r="K114" s="9">
        <v>207</v>
      </c>
      <c r="L114" s="9">
        <v>207</v>
      </c>
      <c r="M114" s="9">
        <v>207</v>
      </c>
      <c r="N114" s="9">
        <v>207</v>
      </c>
      <c r="O114" s="9">
        <v>207</v>
      </c>
      <c r="P114" s="9">
        <v>207</v>
      </c>
      <c r="Q114" s="9">
        <v>207</v>
      </c>
      <c r="R114" s="9">
        <v>207</v>
      </c>
      <c r="S114" s="9">
        <v>207</v>
      </c>
      <c r="T114" s="9">
        <v>207</v>
      </c>
      <c r="U114" s="9">
        <v>207</v>
      </c>
      <c r="V114" s="9">
        <v>207</v>
      </c>
      <c r="W114" s="9">
        <v>207</v>
      </c>
      <c r="X114" s="9">
        <v>207</v>
      </c>
      <c r="Y114" s="9">
        <v>207</v>
      </c>
      <c r="Z114" s="9">
        <v>207</v>
      </c>
      <c r="AA114" s="9">
        <v>207</v>
      </c>
      <c r="AB114" s="9">
        <v>207</v>
      </c>
      <c r="AC114" s="9">
        <v>207</v>
      </c>
    </row>
    <row r="115" spans="1:29" x14ac:dyDescent="0.3">
      <c r="A115" s="16"/>
      <c r="B115" s="19"/>
      <c r="C115" s="18"/>
      <c r="D115" s="9" t="s">
        <v>977</v>
      </c>
      <c r="E115" s="1" t="s">
        <v>12</v>
      </c>
      <c r="F115" s="9">
        <v>207</v>
      </c>
      <c r="G115" s="9">
        <v>207</v>
      </c>
      <c r="H115" s="9">
        <v>207</v>
      </c>
      <c r="I115" s="9">
        <v>207</v>
      </c>
      <c r="J115" s="9">
        <v>207</v>
      </c>
      <c r="K115" s="9">
        <v>207</v>
      </c>
      <c r="L115" s="9">
        <v>207</v>
      </c>
      <c r="M115" s="9">
        <v>207</v>
      </c>
      <c r="N115" s="9">
        <v>207</v>
      </c>
      <c r="O115" s="9">
        <v>207</v>
      </c>
      <c r="P115" s="9">
        <v>207</v>
      </c>
      <c r="Q115" s="9">
        <v>207</v>
      </c>
      <c r="R115" s="9">
        <v>207</v>
      </c>
      <c r="S115" s="9">
        <v>207</v>
      </c>
      <c r="T115" s="9">
        <v>207</v>
      </c>
      <c r="U115" s="9">
        <v>207</v>
      </c>
      <c r="V115" s="9">
        <v>207</v>
      </c>
      <c r="W115" s="9">
        <v>207</v>
      </c>
      <c r="X115" s="9">
        <v>207</v>
      </c>
      <c r="Y115" s="9">
        <v>207</v>
      </c>
      <c r="Z115" s="9">
        <v>207</v>
      </c>
      <c r="AA115" s="9">
        <v>207</v>
      </c>
      <c r="AB115" s="9">
        <v>207</v>
      </c>
      <c r="AC115" s="9">
        <v>207</v>
      </c>
    </row>
    <row r="116" spans="1:29" x14ac:dyDescent="0.3">
      <c r="A116" s="16"/>
      <c r="B116" s="19"/>
      <c r="C116" s="18"/>
      <c r="D116" s="9" t="s">
        <v>976</v>
      </c>
      <c r="E116" s="10" t="s">
        <v>4</v>
      </c>
      <c r="F116" s="9">
        <v>1</v>
      </c>
      <c r="G116" s="9">
        <v>1</v>
      </c>
      <c r="H116" s="9">
        <v>1</v>
      </c>
      <c r="I116" s="9">
        <v>1</v>
      </c>
      <c r="J116" s="9">
        <v>1</v>
      </c>
      <c r="K116" s="9">
        <v>1</v>
      </c>
      <c r="L116" s="9">
        <v>1</v>
      </c>
      <c r="M116" s="9">
        <v>1</v>
      </c>
      <c r="N116" s="9">
        <v>1</v>
      </c>
      <c r="O116" s="9">
        <v>1</v>
      </c>
      <c r="P116" s="9">
        <v>1</v>
      </c>
      <c r="Q116" s="9">
        <v>1</v>
      </c>
      <c r="R116" s="9">
        <v>1</v>
      </c>
      <c r="S116" s="9">
        <v>1</v>
      </c>
      <c r="T116" s="9">
        <v>1</v>
      </c>
      <c r="U116" s="9">
        <v>1</v>
      </c>
      <c r="V116" s="9">
        <v>1</v>
      </c>
      <c r="W116" s="9">
        <v>1</v>
      </c>
      <c r="X116" s="9">
        <v>1</v>
      </c>
      <c r="Y116" s="9">
        <v>1</v>
      </c>
      <c r="Z116" s="9">
        <v>1</v>
      </c>
      <c r="AA116" s="9">
        <v>1</v>
      </c>
      <c r="AB116" s="9">
        <v>1</v>
      </c>
      <c r="AC116" s="9">
        <v>1</v>
      </c>
    </row>
    <row r="117" spans="1:29" x14ac:dyDescent="0.3">
      <c r="A117" s="16"/>
      <c r="B117" s="19"/>
      <c r="C117" s="18"/>
      <c r="D117" s="9" t="s">
        <v>975</v>
      </c>
      <c r="E117" s="10" t="s">
        <v>70</v>
      </c>
      <c r="F117" s="9">
        <v>1</v>
      </c>
      <c r="G117" s="9">
        <v>1</v>
      </c>
      <c r="H117" s="9">
        <v>1</v>
      </c>
      <c r="I117" s="9">
        <v>1</v>
      </c>
      <c r="J117" s="9">
        <v>1</v>
      </c>
      <c r="K117" s="9">
        <v>1</v>
      </c>
      <c r="L117" s="9">
        <v>1</v>
      </c>
      <c r="M117" s="9">
        <v>1</v>
      </c>
      <c r="N117" s="9">
        <v>1</v>
      </c>
      <c r="O117" s="9">
        <v>1</v>
      </c>
      <c r="P117" s="9">
        <v>1</v>
      </c>
      <c r="Q117" s="9">
        <v>1</v>
      </c>
      <c r="R117" s="9">
        <v>1</v>
      </c>
      <c r="S117" s="9">
        <v>1</v>
      </c>
      <c r="T117" s="9">
        <v>1</v>
      </c>
      <c r="U117" s="9">
        <v>1</v>
      </c>
      <c r="V117" s="9">
        <v>1</v>
      </c>
      <c r="W117" s="9">
        <v>1</v>
      </c>
      <c r="X117" s="9">
        <v>1</v>
      </c>
      <c r="Y117" s="9">
        <v>1</v>
      </c>
      <c r="Z117" s="9">
        <v>1</v>
      </c>
      <c r="AA117" s="9">
        <v>1</v>
      </c>
      <c r="AB117" s="9">
        <v>1</v>
      </c>
      <c r="AC117" s="9">
        <v>1</v>
      </c>
    </row>
    <row r="118" spans="1:29" x14ac:dyDescent="0.3">
      <c r="A118" s="16"/>
      <c r="B118" s="19"/>
      <c r="C118" s="18"/>
      <c r="D118" s="9" t="s">
        <v>974</v>
      </c>
      <c r="E118" s="10" t="s">
        <v>4</v>
      </c>
      <c r="F118" s="9">
        <v>1</v>
      </c>
      <c r="G118" s="9">
        <v>1</v>
      </c>
      <c r="H118" s="9">
        <v>1</v>
      </c>
      <c r="I118" s="9">
        <v>1</v>
      </c>
      <c r="J118" s="9">
        <v>1</v>
      </c>
      <c r="K118" s="9">
        <v>1</v>
      </c>
      <c r="L118" s="9">
        <v>1</v>
      </c>
      <c r="M118" s="9">
        <v>1</v>
      </c>
      <c r="N118" s="9">
        <v>1</v>
      </c>
      <c r="O118" s="9">
        <v>1</v>
      </c>
      <c r="P118" s="9">
        <v>1</v>
      </c>
      <c r="Q118" s="9">
        <v>1</v>
      </c>
      <c r="R118" s="9">
        <v>1</v>
      </c>
      <c r="S118" s="9">
        <v>1</v>
      </c>
      <c r="T118" s="9">
        <v>1</v>
      </c>
      <c r="U118" s="9">
        <v>1</v>
      </c>
      <c r="V118" s="9">
        <v>1</v>
      </c>
      <c r="W118" s="9">
        <v>1</v>
      </c>
      <c r="X118" s="9">
        <v>1</v>
      </c>
      <c r="Y118" s="9">
        <v>1</v>
      </c>
      <c r="Z118" s="9">
        <v>1</v>
      </c>
      <c r="AA118" s="9">
        <v>1</v>
      </c>
      <c r="AB118" s="9">
        <v>1</v>
      </c>
      <c r="AC118" s="9">
        <v>1</v>
      </c>
    </row>
    <row r="119" spans="1:29" x14ac:dyDescent="0.3">
      <c r="A119" s="16"/>
      <c r="B119" s="19"/>
      <c r="C119" s="18" t="s">
        <v>10</v>
      </c>
      <c r="D119" s="9" t="s">
        <v>44</v>
      </c>
      <c r="E119" s="10" t="s">
        <v>1</v>
      </c>
      <c r="F119" s="9">
        <v>-20</v>
      </c>
      <c r="G119" s="9">
        <v>-20</v>
      </c>
      <c r="H119" s="9">
        <v>-20</v>
      </c>
      <c r="I119" s="9">
        <v>-20</v>
      </c>
      <c r="J119" s="9">
        <v>-20</v>
      </c>
      <c r="K119" s="9">
        <v>-20</v>
      </c>
      <c r="L119" s="9">
        <v>-20</v>
      </c>
      <c r="M119" s="9">
        <v>-20</v>
      </c>
      <c r="N119" s="9">
        <v>-20</v>
      </c>
      <c r="O119" s="9">
        <v>-20</v>
      </c>
      <c r="P119" s="9">
        <v>-20</v>
      </c>
      <c r="Q119" s="9">
        <v>-20</v>
      </c>
      <c r="R119" s="9">
        <v>-20</v>
      </c>
      <c r="S119" s="9">
        <v>-20</v>
      </c>
      <c r="T119" s="9">
        <v>-20</v>
      </c>
      <c r="U119" s="9">
        <v>-20</v>
      </c>
      <c r="V119" s="9">
        <v>-20</v>
      </c>
      <c r="W119" s="9">
        <v>-20</v>
      </c>
      <c r="X119" s="9">
        <v>-20</v>
      </c>
      <c r="Y119" s="9">
        <v>-20</v>
      </c>
      <c r="Z119" s="9">
        <v>-20</v>
      </c>
      <c r="AA119" s="9">
        <v>-20</v>
      </c>
      <c r="AB119" s="9">
        <v>-20</v>
      </c>
      <c r="AC119" s="9">
        <v>-20</v>
      </c>
    </row>
    <row r="120" spans="1:29" x14ac:dyDescent="0.3">
      <c r="A120" s="16"/>
      <c r="B120" s="19"/>
      <c r="C120" s="18"/>
      <c r="D120" s="9" t="s">
        <v>45</v>
      </c>
      <c r="E120" s="10" t="s">
        <v>1</v>
      </c>
      <c r="F120" s="9">
        <v>5</v>
      </c>
      <c r="G120" s="9">
        <v>5</v>
      </c>
      <c r="H120" s="9">
        <v>5</v>
      </c>
      <c r="I120" s="9">
        <v>5</v>
      </c>
      <c r="J120" s="9">
        <v>5</v>
      </c>
      <c r="K120" s="9">
        <v>5</v>
      </c>
      <c r="L120" s="9">
        <v>12</v>
      </c>
      <c r="M120" s="9">
        <v>18</v>
      </c>
      <c r="N120" s="9">
        <v>20</v>
      </c>
      <c r="O120" s="9">
        <v>20</v>
      </c>
      <c r="P120" s="9">
        <v>20</v>
      </c>
      <c r="Q120" s="9">
        <v>20</v>
      </c>
      <c r="R120" s="9">
        <v>20</v>
      </c>
      <c r="S120" s="9">
        <v>20</v>
      </c>
      <c r="T120" s="9">
        <v>20</v>
      </c>
      <c r="U120" s="9">
        <v>20</v>
      </c>
      <c r="V120" s="9">
        <v>20</v>
      </c>
      <c r="W120" s="9">
        <v>20</v>
      </c>
      <c r="X120" s="9">
        <v>20</v>
      </c>
      <c r="Y120" s="9">
        <v>18</v>
      </c>
      <c r="Z120" s="9">
        <v>12</v>
      </c>
      <c r="AA120" s="9">
        <v>5</v>
      </c>
      <c r="AB120" s="9">
        <v>5</v>
      </c>
      <c r="AC120" s="9">
        <v>5</v>
      </c>
    </row>
    <row r="121" spans="1:29" x14ac:dyDescent="0.3">
      <c r="A121" s="16"/>
      <c r="B121" s="19"/>
      <c r="C121" s="18"/>
      <c r="D121" s="9" t="s">
        <v>46</v>
      </c>
      <c r="E121" s="10" t="s">
        <v>1</v>
      </c>
      <c r="F121" s="9">
        <v>5</v>
      </c>
      <c r="G121" s="9">
        <v>5</v>
      </c>
      <c r="H121" s="9">
        <v>5</v>
      </c>
      <c r="I121" s="9">
        <v>5</v>
      </c>
      <c r="J121" s="9">
        <v>5</v>
      </c>
      <c r="K121" s="9">
        <v>5</v>
      </c>
      <c r="L121" s="9">
        <v>5</v>
      </c>
      <c r="M121" s="9">
        <v>5</v>
      </c>
      <c r="N121" s="9">
        <v>5</v>
      </c>
      <c r="O121" s="9">
        <v>5</v>
      </c>
      <c r="P121" s="9">
        <v>5</v>
      </c>
      <c r="Q121" s="9">
        <v>5</v>
      </c>
      <c r="R121" s="9">
        <v>5</v>
      </c>
      <c r="S121" s="9">
        <v>5</v>
      </c>
      <c r="T121" s="9">
        <v>5</v>
      </c>
      <c r="U121" s="9">
        <v>5</v>
      </c>
      <c r="V121" s="9">
        <v>5</v>
      </c>
      <c r="W121" s="9">
        <v>5</v>
      </c>
      <c r="X121" s="9">
        <v>5</v>
      </c>
      <c r="Y121" s="9">
        <v>5</v>
      </c>
      <c r="Z121" s="9">
        <v>5</v>
      </c>
      <c r="AA121" s="9">
        <v>5</v>
      </c>
      <c r="AB121" s="9">
        <v>5</v>
      </c>
      <c r="AC121" s="9">
        <v>5</v>
      </c>
    </row>
    <row r="122" spans="1:29" x14ac:dyDescent="0.3">
      <c r="A122" s="16"/>
      <c r="B122" s="19"/>
      <c r="C122" s="18"/>
      <c r="D122" s="9" t="s">
        <v>47</v>
      </c>
      <c r="E122" s="10" t="s">
        <v>1</v>
      </c>
      <c r="F122" s="9">
        <v>50</v>
      </c>
      <c r="G122" s="9">
        <v>50</v>
      </c>
      <c r="H122" s="9">
        <v>50</v>
      </c>
      <c r="I122" s="9">
        <v>50</v>
      </c>
      <c r="J122" s="9">
        <v>50</v>
      </c>
      <c r="K122" s="9">
        <v>50</v>
      </c>
      <c r="L122" s="9">
        <v>50</v>
      </c>
      <c r="M122" s="9">
        <v>50</v>
      </c>
      <c r="N122" s="9">
        <v>50</v>
      </c>
      <c r="O122" s="9">
        <v>50</v>
      </c>
      <c r="P122" s="9">
        <v>50</v>
      </c>
      <c r="Q122" s="9">
        <v>50</v>
      </c>
      <c r="R122" s="9">
        <v>50</v>
      </c>
      <c r="S122" s="9">
        <v>50</v>
      </c>
      <c r="T122" s="9">
        <v>50</v>
      </c>
      <c r="U122" s="9">
        <v>50</v>
      </c>
      <c r="V122" s="9">
        <v>50</v>
      </c>
      <c r="W122" s="9">
        <v>50</v>
      </c>
      <c r="X122" s="9">
        <v>50</v>
      </c>
      <c r="Y122" s="9">
        <v>50</v>
      </c>
      <c r="Z122" s="9">
        <v>50</v>
      </c>
      <c r="AA122" s="9">
        <v>50</v>
      </c>
      <c r="AB122" s="9">
        <v>50</v>
      </c>
      <c r="AC122" s="9">
        <v>50</v>
      </c>
    </row>
    <row r="123" spans="1:29" x14ac:dyDescent="0.3">
      <c r="A123" s="16"/>
      <c r="B123" s="19"/>
      <c r="C123" s="18"/>
      <c r="D123" s="9" t="s">
        <v>48</v>
      </c>
      <c r="E123" s="10" t="s">
        <v>1</v>
      </c>
      <c r="F123" s="9">
        <v>50</v>
      </c>
      <c r="G123" s="9">
        <v>50</v>
      </c>
      <c r="H123" s="9">
        <v>50</v>
      </c>
      <c r="I123" s="9">
        <v>50</v>
      </c>
      <c r="J123" s="9">
        <v>50</v>
      </c>
      <c r="K123" s="9">
        <v>50</v>
      </c>
      <c r="L123" s="9">
        <v>28</v>
      </c>
      <c r="M123" s="9">
        <v>26</v>
      </c>
      <c r="N123" s="9">
        <v>26</v>
      </c>
      <c r="O123" s="9">
        <v>26</v>
      </c>
      <c r="P123" s="9">
        <v>26</v>
      </c>
      <c r="Q123" s="9">
        <v>26</v>
      </c>
      <c r="R123" s="9">
        <v>26</v>
      </c>
      <c r="S123" s="9">
        <v>26</v>
      </c>
      <c r="T123" s="9">
        <v>26</v>
      </c>
      <c r="U123" s="9">
        <v>26</v>
      </c>
      <c r="V123" s="9">
        <v>26</v>
      </c>
      <c r="W123" s="9">
        <v>26</v>
      </c>
      <c r="X123" s="9">
        <v>26</v>
      </c>
      <c r="Y123" s="9">
        <v>26</v>
      </c>
      <c r="Z123" s="9">
        <v>50</v>
      </c>
      <c r="AA123" s="9">
        <v>50</v>
      </c>
      <c r="AB123" s="9">
        <v>50</v>
      </c>
      <c r="AC123" s="9">
        <v>50</v>
      </c>
    </row>
    <row r="124" spans="1:29" x14ac:dyDescent="0.3">
      <c r="A124" s="16"/>
      <c r="B124" s="19"/>
      <c r="C124" s="18"/>
      <c r="D124" s="9" t="s">
        <v>49</v>
      </c>
      <c r="E124" s="10" t="s">
        <v>1</v>
      </c>
      <c r="F124" s="9">
        <v>50</v>
      </c>
      <c r="G124" s="9">
        <v>50</v>
      </c>
      <c r="H124" s="9">
        <v>50</v>
      </c>
      <c r="I124" s="9">
        <v>50</v>
      </c>
      <c r="J124" s="9">
        <v>50</v>
      </c>
      <c r="K124" s="9">
        <v>50</v>
      </c>
      <c r="L124" s="9">
        <v>50</v>
      </c>
      <c r="M124" s="9">
        <v>50</v>
      </c>
      <c r="N124" s="9">
        <v>50</v>
      </c>
      <c r="O124" s="9">
        <v>50</v>
      </c>
      <c r="P124" s="9">
        <v>50</v>
      </c>
      <c r="Q124" s="9">
        <v>50</v>
      </c>
      <c r="R124" s="9">
        <v>50</v>
      </c>
      <c r="S124" s="9">
        <v>50</v>
      </c>
      <c r="T124" s="9">
        <v>50</v>
      </c>
      <c r="U124" s="9">
        <v>50</v>
      </c>
      <c r="V124" s="9">
        <v>50</v>
      </c>
      <c r="W124" s="9">
        <v>50</v>
      </c>
      <c r="X124" s="9">
        <v>50</v>
      </c>
      <c r="Y124" s="9">
        <v>50</v>
      </c>
      <c r="Z124" s="9">
        <v>50</v>
      </c>
      <c r="AA124" s="9">
        <v>50</v>
      </c>
      <c r="AB124" s="9">
        <v>50</v>
      </c>
      <c r="AC124" s="9">
        <v>50</v>
      </c>
    </row>
    <row r="125" spans="1:29" x14ac:dyDescent="0.3">
      <c r="A125" s="16"/>
      <c r="B125" s="19"/>
      <c r="C125" s="18"/>
      <c r="D125" s="9" t="s">
        <v>50</v>
      </c>
      <c r="E125" s="10" t="s">
        <v>5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0.1</v>
      </c>
      <c r="M125" s="9">
        <v>0.5</v>
      </c>
      <c r="N125" s="9">
        <v>0.95</v>
      </c>
      <c r="O125" s="9">
        <v>0.95</v>
      </c>
      <c r="P125" s="9">
        <v>0.95</v>
      </c>
      <c r="Q125" s="9">
        <v>0.8</v>
      </c>
      <c r="R125" s="9">
        <v>0.8</v>
      </c>
      <c r="S125" s="9">
        <v>0.95</v>
      </c>
      <c r="T125" s="9">
        <v>0.95</v>
      </c>
      <c r="U125" s="9">
        <v>0.95</v>
      </c>
      <c r="V125" s="9">
        <v>0.95</v>
      </c>
      <c r="W125" s="9">
        <v>0.95</v>
      </c>
      <c r="X125" s="9">
        <v>0.95</v>
      </c>
      <c r="Y125" s="9">
        <v>0.5</v>
      </c>
      <c r="Z125" s="9">
        <v>0.2</v>
      </c>
      <c r="AA125" s="9">
        <v>0.1</v>
      </c>
      <c r="AB125" s="9">
        <v>0.1</v>
      </c>
      <c r="AC125" s="9">
        <v>0</v>
      </c>
    </row>
    <row r="126" spans="1:29" x14ac:dyDescent="0.3">
      <c r="A126" s="16"/>
      <c r="B126" s="19"/>
      <c r="C126" s="18"/>
      <c r="D126" s="9" t="s">
        <v>51</v>
      </c>
      <c r="E126" s="10" t="s">
        <v>5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0.1</v>
      </c>
      <c r="T126" s="9">
        <v>0.1</v>
      </c>
      <c r="U126" s="9">
        <v>0.1</v>
      </c>
      <c r="V126" s="9">
        <v>0.1</v>
      </c>
      <c r="W126" s="9">
        <v>0.1</v>
      </c>
      <c r="X126" s="9">
        <v>0.1</v>
      </c>
      <c r="Y126" s="9">
        <v>0.1</v>
      </c>
      <c r="Z126" s="9">
        <v>0.1</v>
      </c>
      <c r="AA126" s="9">
        <v>0</v>
      </c>
      <c r="AB126" s="9">
        <v>0</v>
      </c>
      <c r="AC126" s="9">
        <v>0</v>
      </c>
    </row>
    <row r="127" spans="1:29" x14ac:dyDescent="0.3">
      <c r="A127" s="16"/>
      <c r="B127" s="19"/>
      <c r="C127" s="18"/>
      <c r="D127" s="9" t="s">
        <v>52</v>
      </c>
      <c r="E127" s="10" t="s">
        <v>5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0.1</v>
      </c>
      <c r="M127" s="9">
        <v>0.5</v>
      </c>
      <c r="N127" s="9">
        <v>0.95</v>
      </c>
      <c r="O127" s="9">
        <v>0.95</v>
      </c>
      <c r="P127" s="9">
        <v>0.95</v>
      </c>
      <c r="Q127" s="9">
        <v>0.5</v>
      </c>
      <c r="R127" s="9">
        <v>0.5</v>
      </c>
      <c r="S127" s="9">
        <v>0.95</v>
      </c>
      <c r="T127" s="9">
        <v>0.95</v>
      </c>
      <c r="U127" s="9">
        <v>0.95</v>
      </c>
      <c r="V127" s="9">
        <v>0.95</v>
      </c>
      <c r="W127" s="9">
        <v>0.8</v>
      </c>
      <c r="X127" s="9">
        <v>0.6</v>
      </c>
      <c r="Y127" s="9">
        <v>0.4</v>
      </c>
      <c r="Z127" s="9">
        <v>0.3</v>
      </c>
      <c r="AA127" s="9">
        <v>0</v>
      </c>
      <c r="AB127" s="9">
        <v>0</v>
      </c>
      <c r="AC127" s="9">
        <v>0</v>
      </c>
    </row>
    <row r="128" spans="1:29" x14ac:dyDescent="0.3">
      <c r="A128" s="16"/>
      <c r="B128" s="19"/>
      <c r="C128" s="18"/>
      <c r="D128" s="9" t="s">
        <v>53</v>
      </c>
      <c r="E128" s="10" t="s">
        <v>5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0.3</v>
      </c>
      <c r="T128" s="9">
        <v>0.3</v>
      </c>
      <c r="U128" s="9">
        <v>0.3</v>
      </c>
      <c r="V128" s="9">
        <v>0.3</v>
      </c>
      <c r="W128" s="9">
        <v>0.3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</row>
    <row r="129" spans="1:29" x14ac:dyDescent="0.3">
      <c r="A129" s="16"/>
      <c r="B129" s="19"/>
      <c r="C129" s="18"/>
      <c r="D129" s="9" t="s">
        <v>54</v>
      </c>
      <c r="E129" s="10" t="s">
        <v>5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0.1</v>
      </c>
      <c r="M129" s="9">
        <v>0.5</v>
      </c>
      <c r="N129" s="9">
        <v>0.95</v>
      </c>
      <c r="O129" s="9">
        <v>0.95</v>
      </c>
      <c r="P129" s="9">
        <v>0.95</v>
      </c>
      <c r="Q129" s="9">
        <v>0.8</v>
      </c>
      <c r="R129" s="9">
        <v>0.8</v>
      </c>
      <c r="S129" s="9">
        <v>0.95</v>
      </c>
      <c r="T129" s="9">
        <v>0.95</v>
      </c>
      <c r="U129" s="9">
        <v>0.95</v>
      </c>
      <c r="V129" s="9">
        <v>0.95</v>
      </c>
      <c r="W129" s="9">
        <v>0.95</v>
      </c>
      <c r="X129" s="9">
        <v>0.8</v>
      </c>
      <c r="Y129" s="9">
        <v>0.5</v>
      </c>
      <c r="Z129" s="9">
        <v>0.2</v>
      </c>
      <c r="AA129" s="9">
        <v>0</v>
      </c>
      <c r="AB129" s="9">
        <v>0</v>
      </c>
      <c r="AC129" s="9">
        <v>0</v>
      </c>
    </row>
    <row r="130" spans="1:29" x14ac:dyDescent="0.3">
      <c r="A130" s="16"/>
      <c r="B130" s="19"/>
      <c r="C130" s="18"/>
      <c r="D130" s="9" t="s">
        <v>55</v>
      </c>
      <c r="E130" s="10" t="s">
        <v>5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0.3</v>
      </c>
      <c r="T130" s="9">
        <v>0.3</v>
      </c>
      <c r="U130" s="9">
        <v>0.3</v>
      </c>
      <c r="V130" s="9">
        <v>0.3</v>
      </c>
      <c r="W130" s="9">
        <v>0.3</v>
      </c>
      <c r="X130" s="9">
        <v>0.3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</row>
    <row r="131" spans="1:29" x14ac:dyDescent="0.3">
      <c r="A131" s="16"/>
      <c r="B131" s="19"/>
      <c r="C131" s="18"/>
      <c r="D131" s="9" t="s">
        <v>360</v>
      </c>
      <c r="E131" s="1" t="s">
        <v>12</v>
      </c>
      <c r="F131" s="9">
        <v>144</v>
      </c>
      <c r="G131" s="9">
        <v>144</v>
      </c>
      <c r="H131" s="9">
        <v>144</v>
      </c>
      <c r="I131" s="9">
        <v>144</v>
      </c>
      <c r="J131" s="9">
        <v>144</v>
      </c>
      <c r="K131" s="9">
        <v>144</v>
      </c>
      <c r="L131" s="9">
        <v>144</v>
      </c>
      <c r="M131" s="9">
        <v>144</v>
      </c>
      <c r="N131" s="9">
        <v>144</v>
      </c>
      <c r="O131" s="9">
        <v>144</v>
      </c>
      <c r="P131" s="9">
        <v>144</v>
      </c>
      <c r="Q131" s="9">
        <v>144</v>
      </c>
      <c r="R131" s="9">
        <v>144</v>
      </c>
      <c r="S131" s="9">
        <v>144</v>
      </c>
      <c r="T131" s="9">
        <v>144</v>
      </c>
      <c r="U131" s="9">
        <v>144</v>
      </c>
      <c r="V131" s="9">
        <v>144</v>
      </c>
      <c r="W131" s="9">
        <v>144</v>
      </c>
      <c r="X131" s="9">
        <v>144</v>
      </c>
      <c r="Y131" s="9">
        <v>144</v>
      </c>
      <c r="Z131" s="9">
        <v>144</v>
      </c>
      <c r="AA131" s="9">
        <v>144</v>
      </c>
      <c r="AB131" s="9">
        <v>144</v>
      </c>
      <c r="AC131" s="9">
        <v>144</v>
      </c>
    </row>
    <row r="132" spans="1:29" x14ac:dyDescent="0.3">
      <c r="A132" s="16"/>
      <c r="B132" s="19"/>
      <c r="C132" s="18"/>
      <c r="D132" s="9" t="s">
        <v>359</v>
      </c>
      <c r="E132" s="1" t="s">
        <v>12</v>
      </c>
      <c r="F132" s="9">
        <v>144</v>
      </c>
      <c r="G132" s="9">
        <v>144</v>
      </c>
      <c r="H132" s="9">
        <v>144</v>
      </c>
      <c r="I132" s="9">
        <v>144</v>
      </c>
      <c r="J132" s="9">
        <v>144</v>
      </c>
      <c r="K132" s="9">
        <v>144</v>
      </c>
      <c r="L132" s="9">
        <v>144</v>
      </c>
      <c r="M132" s="9">
        <v>144</v>
      </c>
      <c r="N132" s="9">
        <v>144</v>
      </c>
      <c r="O132" s="9">
        <v>144</v>
      </c>
      <c r="P132" s="9">
        <v>144</v>
      </c>
      <c r="Q132" s="9">
        <v>144</v>
      </c>
      <c r="R132" s="9">
        <v>144</v>
      </c>
      <c r="S132" s="9">
        <v>144</v>
      </c>
      <c r="T132" s="9">
        <v>144</v>
      </c>
      <c r="U132" s="9">
        <v>144</v>
      </c>
      <c r="V132" s="9">
        <v>144</v>
      </c>
      <c r="W132" s="9">
        <v>144</v>
      </c>
      <c r="X132" s="9">
        <v>144</v>
      </c>
      <c r="Y132" s="9">
        <v>144</v>
      </c>
      <c r="Z132" s="9">
        <v>144</v>
      </c>
      <c r="AA132" s="9">
        <v>144</v>
      </c>
      <c r="AB132" s="9">
        <v>144</v>
      </c>
      <c r="AC132" s="9">
        <v>144</v>
      </c>
    </row>
    <row r="133" spans="1:29" x14ac:dyDescent="0.3">
      <c r="A133" s="16"/>
      <c r="B133" s="19"/>
      <c r="C133" s="18"/>
      <c r="D133" s="9" t="s">
        <v>56</v>
      </c>
      <c r="E133" s="10" t="s">
        <v>70</v>
      </c>
      <c r="F133" s="9">
        <v>1</v>
      </c>
      <c r="G133" s="9">
        <v>1</v>
      </c>
      <c r="H133" s="9">
        <v>1</v>
      </c>
      <c r="I133" s="9">
        <v>1</v>
      </c>
      <c r="J133" s="9">
        <v>1</v>
      </c>
      <c r="K133" s="9">
        <v>1</v>
      </c>
      <c r="L133" s="9">
        <v>1</v>
      </c>
      <c r="M133" s="9">
        <v>1</v>
      </c>
      <c r="N133" s="9">
        <v>1</v>
      </c>
      <c r="O133" s="9">
        <v>1</v>
      </c>
      <c r="P133" s="9">
        <v>1</v>
      </c>
      <c r="Q133" s="9">
        <v>1</v>
      </c>
      <c r="R133" s="9">
        <v>1</v>
      </c>
      <c r="S133" s="9">
        <v>1</v>
      </c>
      <c r="T133" s="9">
        <v>1</v>
      </c>
      <c r="U133" s="9">
        <v>1</v>
      </c>
      <c r="V133" s="9">
        <v>1</v>
      </c>
      <c r="W133" s="9">
        <v>1</v>
      </c>
      <c r="X133" s="9">
        <v>1</v>
      </c>
      <c r="Y133" s="9">
        <v>1</v>
      </c>
      <c r="Z133" s="9">
        <v>1</v>
      </c>
      <c r="AA133" s="9">
        <v>1</v>
      </c>
      <c r="AB133" s="9">
        <v>1</v>
      </c>
      <c r="AC133" s="9">
        <v>1</v>
      </c>
    </row>
    <row r="134" spans="1:29" x14ac:dyDescent="0.3">
      <c r="A134" s="16"/>
      <c r="B134" s="19"/>
      <c r="C134" s="18"/>
      <c r="D134" s="9" t="s">
        <v>129</v>
      </c>
      <c r="E134" s="10" t="s">
        <v>70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1</v>
      </c>
      <c r="M134" s="9">
        <v>1</v>
      </c>
      <c r="N134" s="9">
        <v>1</v>
      </c>
      <c r="O134" s="9">
        <v>1</v>
      </c>
      <c r="P134" s="9">
        <v>1</v>
      </c>
      <c r="Q134" s="9">
        <v>1</v>
      </c>
      <c r="R134" s="9">
        <v>1</v>
      </c>
      <c r="S134" s="9">
        <v>1</v>
      </c>
      <c r="T134" s="9">
        <v>1</v>
      </c>
      <c r="U134" s="9">
        <v>1</v>
      </c>
      <c r="V134" s="9">
        <v>1</v>
      </c>
      <c r="W134" s="9">
        <v>1</v>
      </c>
      <c r="X134" s="9">
        <v>1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</row>
    <row r="135" spans="1:29" x14ac:dyDescent="0.3">
      <c r="A135" s="16"/>
      <c r="B135" s="19"/>
      <c r="C135" s="18"/>
      <c r="D135" s="9" t="s">
        <v>130</v>
      </c>
      <c r="E135" s="10" t="s">
        <v>4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1</v>
      </c>
      <c r="T135" s="9">
        <v>1</v>
      </c>
      <c r="U135" s="9">
        <v>1</v>
      </c>
      <c r="V135" s="9">
        <v>1</v>
      </c>
      <c r="W135" s="9">
        <v>1</v>
      </c>
      <c r="X135" s="9">
        <v>1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</row>
  </sheetData>
  <mergeCells count="10">
    <mergeCell ref="C102:C118"/>
    <mergeCell ref="C119:C135"/>
    <mergeCell ref="B1:B135"/>
    <mergeCell ref="A1:A135"/>
    <mergeCell ref="C2:C18"/>
    <mergeCell ref="C19:C35"/>
    <mergeCell ref="C36:C50"/>
    <mergeCell ref="C51:C67"/>
    <mergeCell ref="C68:C84"/>
    <mergeCell ref="C85:C10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F38A-6FF9-48C1-963E-6DDC1EEFF84F}">
  <dimension ref="A1:P80"/>
  <sheetViews>
    <sheetView topLeftCell="A70" zoomScaleNormal="100" workbookViewId="0">
      <selection sqref="A1:A80"/>
    </sheetView>
  </sheetViews>
  <sheetFormatPr defaultRowHeight="14" x14ac:dyDescent="0.3"/>
  <cols>
    <col min="1" max="1" width="3.6640625" bestFit="1" customWidth="1"/>
    <col min="2" max="2" width="22.58203125" bestFit="1" customWidth="1"/>
    <col min="3" max="3" width="12.4140625" style="1" bestFit="1" customWidth="1"/>
    <col min="4" max="4" width="44.08203125" bestFit="1" customWidth="1"/>
    <col min="5" max="5" width="51.08203125" bestFit="1" customWidth="1"/>
    <col min="6" max="10" width="52.4140625" bestFit="1" customWidth="1"/>
    <col min="11" max="12" width="51.08203125" bestFit="1" customWidth="1"/>
    <col min="13" max="14" width="52.4140625" bestFit="1" customWidth="1"/>
    <col min="15" max="16" width="51.08203125" bestFit="1" customWidth="1"/>
  </cols>
  <sheetData>
    <row r="1" spans="1:16" x14ac:dyDescent="0.3">
      <c r="A1" s="16" t="s">
        <v>317</v>
      </c>
      <c r="B1" s="16" t="s">
        <v>318</v>
      </c>
      <c r="C1" s="1" t="s">
        <v>9</v>
      </c>
      <c r="D1" t="s">
        <v>42</v>
      </c>
      <c r="E1" s="2" t="s">
        <v>321</v>
      </c>
      <c r="F1" t="s">
        <v>322</v>
      </c>
      <c r="G1" t="s">
        <v>323</v>
      </c>
      <c r="H1" t="s">
        <v>324</v>
      </c>
      <c r="I1" t="s">
        <v>325</v>
      </c>
      <c r="J1" t="s">
        <v>326</v>
      </c>
      <c r="K1" t="s">
        <v>327</v>
      </c>
      <c r="L1" t="s">
        <v>328</v>
      </c>
      <c r="M1" s="2" t="s">
        <v>693</v>
      </c>
      <c r="N1" s="2" t="s">
        <v>694</v>
      </c>
      <c r="O1" s="2" t="s">
        <v>695</v>
      </c>
      <c r="P1" s="2" t="s">
        <v>696</v>
      </c>
    </row>
    <row r="2" spans="1:16" ht="13.75" customHeight="1" x14ac:dyDescent="0.3">
      <c r="A2" s="16"/>
      <c r="B2" s="16"/>
      <c r="C2" s="15" t="s">
        <v>10</v>
      </c>
      <c r="D2" t="s">
        <v>43</v>
      </c>
      <c r="E2" t="s">
        <v>44</v>
      </c>
      <c r="F2" t="s">
        <v>44</v>
      </c>
      <c r="G2" t="s">
        <v>44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</row>
    <row r="3" spans="1:16" ht="13.75" customHeight="1" x14ac:dyDescent="0.3">
      <c r="A3" s="16"/>
      <c r="B3" s="16"/>
      <c r="C3" s="15"/>
      <c r="D3" t="s">
        <v>57</v>
      </c>
      <c r="E3" t="s">
        <v>46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46</v>
      </c>
      <c r="L3" t="s">
        <v>46</v>
      </c>
      <c r="M3" t="s">
        <v>45</v>
      </c>
      <c r="N3" t="s">
        <v>45</v>
      </c>
      <c r="O3" t="s">
        <v>46</v>
      </c>
      <c r="P3" t="s">
        <v>46</v>
      </c>
    </row>
    <row r="4" spans="1:16" ht="13.75" customHeight="1" x14ac:dyDescent="0.3">
      <c r="A4" s="16"/>
      <c r="B4" s="16"/>
      <c r="C4" s="15"/>
      <c r="D4" t="s">
        <v>58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</row>
    <row r="5" spans="1:16" ht="13.75" customHeight="1" x14ac:dyDescent="0.3">
      <c r="A5" s="16"/>
      <c r="B5" s="16"/>
      <c r="C5" s="15"/>
      <c r="D5" t="s">
        <v>59</v>
      </c>
      <c r="E5" t="s">
        <v>49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49</v>
      </c>
      <c r="L5" t="s">
        <v>49</v>
      </c>
      <c r="M5" t="s">
        <v>48</v>
      </c>
      <c r="N5" t="s">
        <v>48</v>
      </c>
      <c r="O5" t="s">
        <v>49</v>
      </c>
      <c r="P5" t="s">
        <v>49</v>
      </c>
    </row>
    <row r="6" spans="1:16" ht="13.75" customHeight="1" x14ac:dyDescent="0.3">
      <c r="A6" s="16"/>
      <c r="B6" s="16"/>
      <c r="C6" s="15"/>
      <c r="D6" t="s">
        <v>60</v>
      </c>
      <c r="E6" t="s">
        <v>51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  <c r="K6" t="s">
        <v>51</v>
      </c>
      <c r="L6" t="s">
        <v>51</v>
      </c>
      <c r="M6" t="s">
        <v>50</v>
      </c>
      <c r="N6" t="s">
        <v>50</v>
      </c>
      <c r="O6" t="s">
        <v>51</v>
      </c>
      <c r="P6" t="s">
        <v>51</v>
      </c>
    </row>
    <row r="7" spans="1:16" ht="13.75" customHeight="1" x14ac:dyDescent="0.3">
      <c r="A7" s="16"/>
      <c r="B7" s="16"/>
      <c r="C7" s="15"/>
      <c r="D7" t="s">
        <v>61</v>
      </c>
      <c r="E7" t="s">
        <v>53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53</v>
      </c>
      <c r="L7" t="s">
        <v>53</v>
      </c>
      <c r="M7" t="s">
        <v>52</v>
      </c>
      <c r="N7" t="s">
        <v>52</v>
      </c>
      <c r="O7" t="s">
        <v>53</v>
      </c>
      <c r="P7" t="s">
        <v>53</v>
      </c>
    </row>
    <row r="8" spans="1:16" ht="13.75" customHeight="1" x14ac:dyDescent="0.3">
      <c r="A8" s="16"/>
      <c r="B8" s="16"/>
      <c r="C8" s="15"/>
      <c r="D8" t="s">
        <v>62</v>
      </c>
      <c r="E8" t="s">
        <v>55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55</v>
      </c>
      <c r="L8" t="s">
        <v>55</v>
      </c>
      <c r="M8" t="s">
        <v>54</v>
      </c>
      <c r="N8" t="s">
        <v>54</v>
      </c>
      <c r="O8" t="s">
        <v>55</v>
      </c>
      <c r="P8" t="s">
        <v>55</v>
      </c>
    </row>
    <row r="9" spans="1:16" ht="13.75" customHeight="1" x14ac:dyDescent="0.3">
      <c r="A9" s="16"/>
      <c r="B9" s="16"/>
      <c r="C9" s="15"/>
      <c r="D9" t="s">
        <v>376</v>
      </c>
      <c r="E9" s="9" t="s">
        <v>359</v>
      </c>
      <c r="F9" s="9" t="s">
        <v>360</v>
      </c>
      <c r="G9" s="9" t="s">
        <v>360</v>
      </c>
      <c r="H9" s="9" t="s">
        <v>360</v>
      </c>
      <c r="I9" s="9" t="s">
        <v>360</v>
      </c>
      <c r="J9" s="9" t="s">
        <v>360</v>
      </c>
      <c r="K9" s="9" t="s">
        <v>359</v>
      </c>
      <c r="L9" s="9" t="s">
        <v>359</v>
      </c>
      <c r="M9" s="9" t="s">
        <v>360</v>
      </c>
      <c r="N9" s="9" t="s">
        <v>360</v>
      </c>
      <c r="O9" s="9" t="s">
        <v>359</v>
      </c>
      <c r="P9" s="9" t="s">
        <v>359</v>
      </c>
    </row>
    <row r="10" spans="1:16" ht="13.75" customHeight="1" x14ac:dyDescent="0.3">
      <c r="A10" s="16"/>
      <c r="B10" s="16"/>
      <c r="C10" s="15"/>
      <c r="D10" t="s">
        <v>63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</row>
    <row r="11" spans="1:16" ht="13.75" customHeight="1" x14ac:dyDescent="0.3">
      <c r="A11" s="16"/>
      <c r="B11" s="16"/>
      <c r="C11" s="15"/>
      <c r="D11" t="s">
        <v>143</v>
      </c>
      <c r="E11" t="s">
        <v>130</v>
      </c>
      <c r="F11" t="s">
        <v>129</v>
      </c>
      <c r="G11" t="s">
        <v>129</v>
      </c>
      <c r="H11" t="s">
        <v>129</v>
      </c>
      <c r="I11" t="s">
        <v>129</v>
      </c>
      <c r="J11" t="s">
        <v>129</v>
      </c>
      <c r="K11" t="s">
        <v>130</v>
      </c>
      <c r="L11" t="s">
        <v>130</v>
      </c>
      <c r="M11" t="s">
        <v>129</v>
      </c>
      <c r="N11" t="s">
        <v>129</v>
      </c>
      <c r="O11" t="s">
        <v>130</v>
      </c>
      <c r="P11" t="s">
        <v>130</v>
      </c>
    </row>
    <row r="12" spans="1:16" x14ac:dyDescent="0.3">
      <c r="A12" s="16"/>
      <c r="B12" s="16"/>
      <c r="C12" s="15" t="s">
        <v>301</v>
      </c>
      <c r="D12" t="s">
        <v>145</v>
      </c>
      <c r="E12" t="s">
        <v>74</v>
      </c>
      <c r="F12" t="s">
        <v>74</v>
      </c>
      <c r="G12" t="s">
        <v>74</v>
      </c>
      <c r="H12" t="s">
        <v>74</v>
      </c>
      <c r="I12" t="s">
        <v>74</v>
      </c>
      <c r="J12" t="s">
        <v>74</v>
      </c>
      <c r="K12" t="s">
        <v>74</v>
      </c>
      <c r="L12" t="s">
        <v>144</v>
      </c>
      <c r="M12" t="s">
        <v>74</v>
      </c>
      <c r="N12" t="s">
        <v>74</v>
      </c>
      <c r="O12" t="s">
        <v>74</v>
      </c>
      <c r="P12" t="s">
        <v>74</v>
      </c>
    </row>
    <row r="13" spans="1:16" x14ac:dyDescent="0.3">
      <c r="A13" s="16"/>
      <c r="B13" s="16"/>
      <c r="C13" s="15"/>
      <c r="D13" t="s">
        <v>146</v>
      </c>
      <c r="E13" t="s">
        <v>76</v>
      </c>
      <c r="F13" t="s">
        <v>75</v>
      </c>
      <c r="G13" t="s">
        <v>75</v>
      </c>
      <c r="H13" t="s">
        <v>75</v>
      </c>
      <c r="I13" t="s">
        <v>75</v>
      </c>
      <c r="J13" t="s">
        <v>75</v>
      </c>
      <c r="K13" t="s">
        <v>76</v>
      </c>
      <c r="L13" t="s">
        <v>76</v>
      </c>
      <c r="M13" t="s">
        <v>75</v>
      </c>
      <c r="N13" t="s">
        <v>75</v>
      </c>
      <c r="O13" t="s">
        <v>76</v>
      </c>
      <c r="P13" t="s">
        <v>76</v>
      </c>
    </row>
    <row r="14" spans="1:16" x14ac:dyDescent="0.3">
      <c r="A14" s="16"/>
      <c r="B14" s="16"/>
      <c r="C14" s="15"/>
      <c r="D14" t="s">
        <v>147</v>
      </c>
      <c r="E14" t="s">
        <v>77</v>
      </c>
      <c r="F14" t="s">
        <v>77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</row>
    <row r="15" spans="1:16" x14ac:dyDescent="0.3">
      <c r="A15" s="16"/>
      <c r="B15" s="16"/>
      <c r="C15" s="15"/>
      <c r="D15" t="s">
        <v>148</v>
      </c>
      <c r="E15" t="s">
        <v>79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79</v>
      </c>
      <c r="L15" t="s">
        <v>79</v>
      </c>
      <c r="M15" t="s">
        <v>78</v>
      </c>
      <c r="N15" t="s">
        <v>78</v>
      </c>
      <c r="O15" t="s">
        <v>79</v>
      </c>
      <c r="P15" t="s">
        <v>79</v>
      </c>
    </row>
    <row r="16" spans="1:16" x14ac:dyDescent="0.3">
      <c r="A16" s="16"/>
      <c r="B16" s="16"/>
      <c r="C16" s="15"/>
      <c r="D16" t="s">
        <v>149</v>
      </c>
      <c r="E16" t="s">
        <v>81</v>
      </c>
      <c r="F16" t="s">
        <v>80</v>
      </c>
      <c r="G16" t="s">
        <v>80</v>
      </c>
      <c r="H16" t="s">
        <v>80</v>
      </c>
      <c r="I16" t="s">
        <v>80</v>
      </c>
      <c r="J16" t="s">
        <v>80</v>
      </c>
      <c r="K16" t="s">
        <v>81</v>
      </c>
      <c r="L16" t="s">
        <v>81</v>
      </c>
      <c r="M16" t="s">
        <v>80</v>
      </c>
      <c r="N16" t="s">
        <v>80</v>
      </c>
      <c r="O16" t="s">
        <v>81</v>
      </c>
      <c r="P16" t="s">
        <v>81</v>
      </c>
    </row>
    <row r="17" spans="1:16" x14ac:dyDescent="0.3">
      <c r="A17" s="16"/>
      <c r="B17" s="16"/>
      <c r="C17" s="15"/>
      <c r="D17" t="s">
        <v>150</v>
      </c>
      <c r="E17" t="s">
        <v>83</v>
      </c>
      <c r="F17" t="s">
        <v>82</v>
      </c>
      <c r="G17" t="s">
        <v>82</v>
      </c>
      <c r="H17" t="s">
        <v>82</v>
      </c>
      <c r="I17" t="s">
        <v>82</v>
      </c>
      <c r="J17" t="s">
        <v>82</v>
      </c>
      <c r="K17" t="s">
        <v>83</v>
      </c>
      <c r="L17" t="s">
        <v>83</v>
      </c>
      <c r="M17" t="s">
        <v>82</v>
      </c>
      <c r="N17" t="s">
        <v>82</v>
      </c>
      <c r="O17" t="s">
        <v>83</v>
      </c>
      <c r="P17" t="s">
        <v>83</v>
      </c>
    </row>
    <row r="18" spans="1:16" ht="13.75" customHeight="1" x14ac:dyDescent="0.3">
      <c r="A18" s="16"/>
      <c r="B18" s="16"/>
      <c r="C18" s="15"/>
      <c r="D18" t="s">
        <v>377</v>
      </c>
      <c r="E18" t="s">
        <v>85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85</v>
      </c>
      <c r="L18" t="s">
        <v>85</v>
      </c>
      <c r="M18" t="s">
        <v>84</v>
      </c>
      <c r="N18" t="s">
        <v>84</v>
      </c>
      <c r="O18" t="s">
        <v>85</v>
      </c>
      <c r="P18" t="s">
        <v>85</v>
      </c>
    </row>
    <row r="19" spans="1:16" ht="13.75" customHeight="1" x14ac:dyDescent="0.3">
      <c r="A19" s="16"/>
      <c r="B19" s="16"/>
      <c r="C19" s="15"/>
      <c r="D19" t="s">
        <v>378</v>
      </c>
      <c r="E19" s="9" t="s">
        <v>363</v>
      </c>
      <c r="F19" s="9" t="s">
        <v>362</v>
      </c>
      <c r="G19" s="9" t="s">
        <v>362</v>
      </c>
      <c r="H19" s="9" t="s">
        <v>362</v>
      </c>
      <c r="I19" s="9" t="s">
        <v>362</v>
      </c>
      <c r="J19" s="9" t="s">
        <v>362</v>
      </c>
      <c r="K19" s="9" t="s">
        <v>363</v>
      </c>
      <c r="L19" s="9" t="s">
        <v>363</v>
      </c>
      <c r="M19" s="9" t="s">
        <v>362</v>
      </c>
      <c r="N19" s="9" t="s">
        <v>362</v>
      </c>
      <c r="O19" s="9" t="s">
        <v>363</v>
      </c>
      <c r="P19" s="9" t="s">
        <v>363</v>
      </c>
    </row>
    <row r="20" spans="1:16" x14ac:dyDescent="0.3">
      <c r="A20" s="16"/>
      <c r="B20" s="16"/>
      <c r="C20" s="15"/>
      <c r="D20" t="s">
        <v>152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</row>
    <row r="21" spans="1:16" x14ac:dyDescent="0.3">
      <c r="A21" s="16"/>
      <c r="B21" s="16"/>
      <c r="C21" s="15"/>
      <c r="D21" t="s">
        <v>153</v>
      </c>
      <c r="E21" t="s">
        <v>139</v>
      </c>
      <c r="F21" t="s">
        <v>142</v>
      </c>
      <c r="G21" t="s">
        <v>141</v>
      </c>
      <c r="H21" t="s">
        <v>141</v>
      </c>
      <c r="I21" t="s">
        <v>142</v>
      </c>
      <c r="J21" t="s">
        <v>141</v>
      </c>
      <c r="K21" t="s">
        <v>139</v>
      </c>
      <c r="L21" t="s">
        <v>139</v>
      </c>
      <c r="M21" t="s">
        <v>142</v>
      </c>
      <c r="N21" t="s">
        <v>142</v>
      </c>
      <c r="O21" t="s">
        <v>139</v>
      </c>
      <c r="P21" t="s">
        <v>139</v>
      </c>
    </row>
    <row r="22" spans="1:16" x14ac:dyDescent="0.3">
      <c r="A22" s="16"/>
      <c r="B22" s="16"/>
      <c r="C22" s="15" t="s">
        <v>300</v>
      </c>
      <c r="D22" t="s">
        <v>155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698</v>
      </c>
      <c r="M22" t="s">
        <v>87</v>
      </c>
      <c r="N22" t="s">
        <v>87</v>
      </c>
      <c r="O22" t="s">
        <v>87</v>
      </c>
      <c r="P22" t="s">
        <v>87</v>
      </c>
    </row>
    <row r="23" spans="1:16" x14ac:dyDescent="0.3">
      <c r="A23" s="16"/>
      <c r="B23" s="16"/>
      <c r="C23" s="15"/>
      <c r="D23" t="s">
        <v>156</v>
      </c>
      <c r="E23" t="s">
        <v>89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89</v>
      </c>
      <c r="L23" t="s">
        <v>89</v>
      </c>
      <c r="M23" t="s">
        <v>88</v>
      </c>
      <c r="N23" t="s">
        <v>88</v>
      </c>
      <c r="O23" t="s">
        <v>89</v>
      </c>
      <c r="P23" t="s">
        <v>89</v>
      </c>
    </row>
    <row r="24" spans="1:16" x14ac:dyDescent="0.3">
      <c r="A24" s="16"/>
      <c r="B24" s="16"/>
      <c r="C24" s="15"/>
      <c r="D24" t="s">
        <v>157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  <c r="O24" t="s">
        <v>90</v>
      </c>
      <c r="P24" t="s">
        <v>90</v>
      </c>
    </row>
    <row r="25" spans="1:16" x14ac:dyDescent="0.3">
      <c r="A25" s="16"/>
      <c r="B25" s="16"/>
      <c r="C25" s="15"/>
      <c r="D25" t="s">
        <v>158</v>
      </c>
      <c r="E25" t="s">
        <v>92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92</v>
      </c>
      <c r="L25" t="s">
        <v>92</v>
      </c>
      <c r="M25" t="s">
        <v>91</v>
      </c>
      <c r="N25" t="s">
        <v>91</v>
      </c>
      <c r="O25" t="s">
        <v>92</v>
      </c>
      <c r="P25" t="s">
        <v>92</v>
      </c>
    </row>
    <row r="26" spans="1:16" x14ac:dyDescent="0.3">
      <c r="A26" s="16"/>
      <c r="B26" s="16"/>
      <c r="C26" s="15"/>
      <c r="D26" t="s">
        <v>159</v>
      </c>
      <c r="E26" t="s">
        <v>94</v>
      </c>
      <c r="F26" t="s">
        <v>93</v>
      </c>
      <c r="G26" t="s">
        <v>93</v>
      </c>
      <c r="H26" t="s">
        <v>93</v>
      </c>
      <c r="I26" t="s">
        <v>93</v>
      </c>
      <c r="J26" t="s">
        <v>93</v>
      </c>
      <c r="K26" t="s">
        <v>94</v>
      </c>
      <c r="L26" t="s">
        <v>94</v>
      </c>
      <c r="M26" t="s">
        <v>93</v>
      </c>
      <c r="N26" t="s">
        <v>93</v>
      </c>
      <c r="O26" t="s">
        <v>94</v>
      </c>
      <c r="P26" t="s">
        <v>94</v>
      </c>
    </row>
    <row r="27" spans="1:16" x14ac:dyDescent="0.3">
      <c r="A27" s="16"/>
      <c r="B27" s="16"/>
      <c r="C27" s="15"/>
      <c r="D27" t="s">
        <v>160</v>
      </c>
      <c r="E27" t="s">
        <v>96</v>
      </c>
      <c r="F27" t="s">
        <v>95</v>
      </c>
      <c r="G27" t="s">
        <v>95</v>
      </c>
      <c r="H27" t="s">
        <v>95</v>
      </c>
      <c r="I27" t="s">
        <v>95</v>
      </c>
      <c r="J27" t="s">
        <v>95</v>
      </c>
      <c r="K27" t="s">
        <v>96</v>
      </c>
      <c r="L27" t="s">
        <v>96</v>
      </c>
      <c r="M27" t="s">
        <v>95</v>
      </c>
      <c r="N27" t="s">
        <v>95</v>
      </c>
      <c r="O27" t="s">
        <v>96</v>
      </c>
      <c r="P27" t="s">
        <v>96</v>
      </c>
    </row>
    <row r="28" spans="1:16" x14ac:dyDescent="0.3">
      <c r="A28" s="16"/>
      <c r="B28" s="16"/>
      <c r="C28" s="15"/>
      <c r="D28" t="s">
        <v>379</v>
      </c>
      <c r="E28" t="s">
        <v>98</v>
      </c>
      <c r="F28" t="s">
        <v>97</v>
      </c>
      <c r="G28" t="s">
        <v>97</v>
      </c>
      <c r="H28" t="s">
        <v>97</v>
      </c>
      <c r="I28" t="s">
        <v>97</v>
      </c>
      <c r="J28" t="s">
        <v>97</v>
      </c>
      <c r="K28" t="s">
        <v>98</v>
      </c>
      <c r="L28" t="s">
        <v>98</v>
      </c>
      <c r="M28" t="s">
        <v>97</v>
      </c>
      <c r="N28" t="s">
        <v>97</v>
      </c>
      <c r="O28" t="s">
        <v>98</v>
      </c>
      <c r="P28" t="s">
        <v>98</v>
      </c>
    </row>
    <row r="29" spans="1:16" x14ac:dyDescent="0.3">
      <c r="A29" s="16"/>
      <c r="B29" s="16"/>
      <c r="C29" s="15"/>
      <c r="D29" t="s">
        <v>380</v>
      </c>
      <c r="E29" s="9" t="s">
        <v>366</v>
      </c>
      <c r="F29" s="9" t="s">
        <v>365</v>
      </c>
      <c r="G29" s="9" t="s">
        <v>365</v>
      </c>
      <c r="H29" s="9" t="s">
        <v>365</v>
      </c>
      <c r="I29" s="9" t="s">
        <v>365</v>
      </c>
      <c r="J29" s="9" t="s">
        <v>365</v>
      </c>
      <c r="K29" s="9" t="s">
        <v>366</v>
      </c>
      <c r="L29" s="9" t="s">
        <v>366</v>
      </c>
      <c r="M29" s="9" t="s">
        <v>365</v>
      </c>
      <c r="N29" s="9" t="s">
        <v>365</v>
      </c>
      <c r="O29" s="9" t="s">
        <v>366</v>
      </c>
      <c r="P29" s="9" t="s">
        <v>366</v>
      </c>
    </row>
    <row r="30" spans="1:16" x14ac:dyDescent="0.3">
      <c r="A30" s="16"/>
      <c r="B30" s="16"/>
      <c r="C30" s="15"/>
      <c r="D30" t="s">
        <v>161</v>
      </c>
      <c r="E30" t="s">
        <v>99</v>
      </c>
      <c r="F30" t="s">
        <v>99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  <c r="L30" t="s">
        <v>99</v>
      </c>
      <c r="M30" t="s">
        <v>99</v>
      </c>
      <c r="N30" t="s">
        <v>99</v>
      </c>
      <c r="O30" t="s">
        <v>99</v>
      </c>
      <c r="P30" t="s">
        <v>99</v>
      </c>
    </row>
    <row r="31" spans="1:16" x14ac:dyDescent="0.3">
      <c r="A31" s="16"/>
      <c r="B31" s="16"/>
      <c r="C31" s="15" t="s">
        <v>100</v>
      </c>
      <c r="D31" t="s">
        <v>163</v>
      </c>
      <c r="E31" t="s">
        <v>101</v>
      </c>
      <c r="F31" t="s">
        <v>101</v>
      </c>
      <c r="G31" t="s">
        <v>101</v>
      </c>
      <c r="H31" t="s">
        <v>101</v>
      </c>
      <c r="I31" t="s">
        <v>101</v>
      </c>
      <c r="J31" t="s">
        <v>101</v>
      </c>
      <c r="K31" t="s">
        <v>101</v>
      </c>
      <c r="L31" t="s">
        <v>699</v>
      </c>
      <c r="M31" t="s">
        <v>101</v>
      </c>
      <c r="N31" t="s">
        <v>101</v>
      </c>
      <c r="O31" t="s">
        <v>101</v>
      </c>
      <c r="P31" t="s">
        <v>101</v>
      </c>
    </row>
    <row r="32" spans="1:16" x14ac:dyDescent="0.3">
      <c r="A32" s="16"/>
      <c r="B32" s="16"/>
      <c r="C32" s="15"/>
      <c r="D32" t="s">
        <v>164</v>
      </c>
      <c r="E32" t="s">
        <v>103</v>
      </c>
      <c r="F32" t="s">
        <v>102</v>
      </c>
      <c r="G32" t="s">
        <v>102</v>
      </c>
      <c r="H32" t="s">
        <v>102</v>
      </c>
      <c r="I32" t="s">
        <v>102</v>
      </c>
      <c r="J32" t="s">
        <v>102</v>
      </c>
      <c r="K32" t="s">
        <v>103</v>
      </c>
      <c r="L32" t="s">
        <v>103</v>
      </c>
      <c r="M32" t="s">
        <v>102</v>
      </c>
      <c r="N32" t="s">
        <v>102</v>
      </c>
      <c r="O32" t="s">
        <v>103</v>
      </c>
      <c r="P32" t="s">
        <v>103</v>
      </c>
    </row>
    <row r="33" spans="1:16" x14ac:dyDescent="0.3">
      <c r="A33" s="16"/>
      <c r="B33" s="16"/>
      <c r="C33" s="15"/>
      <c r="D33" t="s">
        <v>165</v>
      </c>
      <c r="E33" t="s">
        <v>104</v>
      </c>
      <c r="F33" t="s">
        <v>104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</row>
    <row r="34" spans="1:16" ht="13.75" customHeight="1" x14ac:dyDescent="0.3">
      <c r="A34" s="16"/>
      <c r="B34" s="16"/>
      <c r="C34" s="15"/>
      <c r="D34" t="s">
        <v>166</v>
      </c>
      <c r="E34" t="s">
        <v>106</v>
      </c>
      <c r="F34" t="s">
        <v>105</v>
      </c>
      <c r="G34" t="s">
        <v>105</v>
      </c>
      <c r="H34" t="s">
        <v>105</v>
      </c>
      <c r="I34" t="s">
        <v>105</v>
      </c>
      <c r="J34" t="s">
        <v>105</v>
      </c>
      <c r="K34" t="s">
        <v>106</v>
      </c>
      <c r="L34" t="s">
        <v>106</v>
      </c>
      <c r="M34" t="s">
        <v>105</v>
      </c>
      <c r="N34" t="s">
        <v>105</v>
      </c>
      <c r="O34" t="s">
        <v>106</v>
      </c>
      <c r="P34" t="s">
        <v>106</v>
      </c>
    </row>
    <row r="35" spans="1:16" x14ac:dyDescent="0.3">
      <c r="A35" s="16"/>
      <c r="B35" s="16"/>
      <c r="C35" s="15"/>
      <c r="D35" t="s">
        <v>167</v>
      </c>
      <c r="E35" t="s">
        <v>108</v>
      </c>
      <c r="F35" t="s">
        <v>107</v>
      </c>
      <c r="G35" t="s">
        <v>107</v>
      </c>
      <c r="H35" t="s">
        <v>107</v>
      </c>
      <c r="I35" t="s">
        <v>107</v>
      </c>
      <c r="J35" t="s">
        <v>107</v>
      </c>
      <c r="K35" t="s">
        <v>108</v>
      </c>
      <c r="L35" t="s">
        <v>108</v>
      </c>
      <c r="M35" t="s">
        <v>107</v>
      </c>
      <c r="N35" t="s">
        <v>107</v>
      </c>
      <c r="O35" t="s">
        <v>108</v>
      </c>
      <c r="P35" t="s">
        <v>108</v>
      </c>
    </row>
    <row r="36" spans="1:16" x14ac:dyDescent="0.3">
      <c r="A36" s="16"/>
      <c r="B36" s="16"/>
      <c r="C36" s="15"/>
      <c r="D36" t="s">
        <v>168</v>
      </c>
      <c r="E36" t="s">
        <v>110</v>
      </c>
      <c r="F36" t="s">
        <v>109</v>
      </c>
      <c r="G36" t="s">
        <v>109</v>
      </c>
      <c r="H36" t="s">
        <v>109</v>
      </c>
      <c r="I36" t="s">
        <v>109</v>
      </c>
      <c r="J36" t="s">
        <v>109</v>
      </c>
      <c r="K36" t="s">
        <v>110</v>
      </c>
      <c r="L36" t="s">
        <v>110</v>
      </c>
      <c r="M36" t="s">
        <v>109</v>
      </c>
      <c r="N36" t="s">
        <v>109</v>
      </c>
      <c r="O36" t="s">
        <v>110</v>
      </c>
      <c r="P36" t="s">
        <v>110</v>
      </c>
    </row>
    <row r="37" spans="1:16" x14ac:dyDescent="0.3">
      <c r="A37" s="16"/>
      <c r="B37" s="16"/>
      <c r="C37" s="15"/>
      <c r="D37" t="s">
        <v>381</v>
      </c>
      <c r="E37" t="s">
        <v>112</v>
      </c>
      <c r="F37" t="s">
        <v>111</v>
      </c>
      <c r="G37" t="s">
        <v>111</v>
      </c>
      <c r="H37" t="s">
        <v>111</v>
      </c>
      <c r="I37" t="s">
        <v>111</v>
      </c>
      <c r="J37" t="s">
        <v>111</v>
      </c>
      <c r="K37" t="s">
        <v>112</v>
      </c>
      <c r="L37" t="s">
        <v>112</v>
      </c>
      <c r="M37" t="s">
        <v>111</v>
      </c>
      <c r="N37" t="s">
        <v>111</v>
      </c>
      <c r="O37" t="s">
        <v>112</v>
      </c>
      <c r="P37" t="s">
        <v>112</v>
      </c>
    </row>
    <row r="38" spans="1:16" x14ac:dyDescent="0.3">
      <c r="A38" s="16"/>
      <c r="B38" s="16"/>
      <c r="C38" s="15"/>
      <c r="D38" t="s">
        <v>382</v>
      </c>
      <c r="E38" s="9" t="s">
        <v>368</v>
      </c>
      <c r="F38" s="9" t="s">
        <v>369</v>
      </c>
      <c r="G38" s="9" t="s">
        <v>369</v>
      </c>
      <c r="H38" s="9" t="s">
        <v>369</v>
      </c>
      <c r="I38" s="9" t="s">
        <v>369</v>
      </c>
      <c r="J38" s="9" t="s">
        <v>369</v>
      </c>
      <c r="K38" s="9" t="s">
        <v>368</v>
      </c>
      <c r="L38" s="9" t="s">
        <v>368</v>
      </c>
      <c r="M38" s="9" t="s">
        <v>369</v>
      </c>
      <c r="N38" s="9" t="s">
        <v>369</v>
      </c>
      <c r="O38" s="9" t="s">
        <v>368</v>
      </c>
      <c r="P38" s="9" t="s">
        <v>368</v>
      </c>
    </row>
    <row r="39" spans="1:16" x14ac:dyDescent="0.3">
      <c r="A39" s="16"/>
      <c r="B39" s="16"/>
      <c r="C39" s="15"/>
      <c r="D39" t="s">
        <v>169</v>
      </c>
      <c r="E39" t="s">
        <v>113</v>
      </c>
      <c r="F39" t="s">
        <v>113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113</v>
      </c>
      <c r="P39" t="s">
        <v>113</v>
      </c>
    </row>
    <row r="40" spans="1:16" x14ac:dyDescent="0.3">
      <c r="A40" s="16"/>
      <c r="B40" s="16"/>
      <c r="C40" s="15"/>
      <c r="D40" t="s">
        <v>170</v>
      </c>
      <c r="E40" t="s">
        <v>133</v>
      </c>
      <c r="F40" t="s">
        <v>132</v>
      </c>
      <c r="G40" t="s">
        <v>131</v>
      </c>
      <c r="H40" t="s">
        <v>131</v>
      </c>
      <c r="I40" t="s">
        <v>132</v>
      </c>
      <c r="J40" t="s">
        <v>131</v>
      </c>
      <c r="K40" t="s">
        <v>133</v>
      </c>
      <c r="L40" t="s">
        <v>133</v>
      </c>
      <c r="M40" t="s">
        <v>132</v>
      </c>
      <c r="N40" t="s">
        <v>132</v>
      </c>
      <c r="O40" t="s">
        <v>133</v>
      </c>
      <c r="P40" t="s">
        <v>133</v>
      </c>
    </row>
    <row r="41" spans="1:16" x14ac:dyDescent="0.3">
      <c r="A41" s="16"/>
      <c r="B41" s="16"/>
      <c r="C41" s="15" t="s">
        <v>114</v>
      </c>
      <c r="D41" t="s">
        <v>172</v>
      </c>
      <c r="E41" t="s">
        <v>115</v>
      </c>
      <c r="F41" t="s">
        <v>115</v>
      </c>
      <c r="G41" t="s">
        <v>115</v>
      </c>
      <c r="H41" t="s">
        <v>115</v>
      </c>
      <c r="I41" t="s">
        <v>115</v>
      </c>
      <c r="J41" t="s">
        <v>115</v>
      </c>
      <c r="K41" t="s">
        <v>115</v>
      </c>
      <c r="L41" t="s">
        <v>700</v>
      </c>
      <c r="M41" t="s">
        <v>115</v>
      </c>
      <c r="N41" t="s">
        <v>115</v>
      </c>
      <c r="O41" t="s">
        <v>115</v>
      </c>
      <c r="P41" t="s">
        <v>115</v>
      </c>
    </row>
    <row r="42" spans="1:16" x14ac:dyDescent="0.3">
      <c r="A42" s="16"/>
      <c r="B42" s="16"/>
      <c r="C42" s="15"/>
      <c r="D42" t="s">
        <v>173</v>
      </c>
      <c r="E42" t="s">
        <v>117</v>
      </c>
      <c r="F42" t="s">
        <v>116</v>
      </c>
      <c r="G42" t="s">
        <v>116</v>
      </c>
      <c r="H42" t="s">
        <v>116</v>
      </c>
      <c r="I42" t="s">
        <v>116</v>
      </c>
      <c r="J42" t="s">
        <v>116</v>
      </c>
      <c r="K42" t="s">
        <v>117</v>
      </c>
      <c r="L42" t="s">
        <v>117</v>
      </c>
      <c r="M42" t="s">
        <v>116</v>
      </c>
      <c r="N42" t="s">
        <v>116</v>
      </c>
      <c r="O42" t="s">
        <v>117</v>
      </c>
      <c r="P42" t="s">
        <v>117</v>
      </c>
    </row>
    <row r="43" spans="1:16" x14ac:dyDescent="0.3">
      <c r="A43" s="16"/>
      <c r="B43" s="16"/>
      <c r="C43" s="15"/>
      <c r="D43" t="s">
        <v>174</v>
      </c>
      <c r="E43" t="s">
        <v>118</v>
      </c>
      <c r="F43" t="s">
        <v>118</v>
      </c>
      <c r="G43" t="s">
        <v>118</v>
      </c>
      <c r="H43" t="s">
        <v>118</v>
      </c>
      <c r="I43" t="s">
        <v>118</v>
      </c>
      <c r="J43" t="s">
        <v>118</v>
      </c>
      <c r="K43" t="s">
        <v>118</v>
      </c>
      <c r="L43" t="s">
        <v>118</v>
      </c>
      <c r="M43" t="s">
        <v>118</v>
      </c>
      <c r="N43" t="s">
        <v>118</v>
      </c>
      <c r="O43" t="s">
        <v>118</v>
      </c>
      <c r="P43" t="s">
        <v>118</v>
      </c>
    </row>
    <row r="44" spans="1:16" x14ac:dyDescent="0.3">
      <c r="A44" s="16"/>
      <c r="B44" s="16"/>
      <c r="C44" s="15"/>
      <c r="D44" t="s">
        <v>175</v>
      </c>
      <c r="E44" t="s">
        <v>120</v>
      </c>
      <c r="F44" t="s">
        <v>119</v>
      </c>
      <c r="G44" t="s">
        <v>119</v>
      </c>
      <c r="H44" t="s">
        <v>119</v>
      </c>
      <c r="I44" t="s">
        <v>119</v>
      </c>
      <c r="J44" t="s">
        <v>119</v>
      </c>
      <c r="K44" t="s">
        <v>120</v>
      </c>
      <c r="L44" t="s">
        <v>120</v>
      </c>
      <c r="M44" t="s">
        <v>119</v>
      </c>
      <c r="N44" t="s">
        <v>119</v>
      </c>
      <c r="O44" t="s">
        <v>120</v>
      </c>
      <c r="P44" t="s">
        <v>120</v>
      </c>
    </row>
    <row r="45" spans="1:16" x14ac:dyDescent="0.3">
      <c r="A45" s="16"/>
      <c r="B45" s="16"/>
      <c r="C45" s="15"/>
      <c r="D45" t="s">
        <v>176</v>
      </c>
      <c r="E45" t="s">
        <v>122</v>
      </c>
      <c r="F45" t="s">
        <v>121</v>
      </c>
      <c r="G45" t="s">
        <v>121</v>
      </c>
      <c r="H45" t="s">
        <v>121</v>
      </c>
      <c r="I45" t="s">
        <v>121</v>
      </c>
      <c r="J45" t="s">
        <v>121</v>
      </c>
      <c r="K45" t="s">
        <v>122</v>
      </c>
      <c r="L45" t="s">
        <v>122</v>
      </c>
      <c r="M45" t="s">
        <v>121</v>
      </c>
      <c r="N45" t="s">
        <v>121</v>
      </c>
      <c r="O45" t="s">
        <v>122</v>
      </c>
      <c r="P45" t="s">
        <v>122</v>
      </c>
    </row>
    <row r="46" spans="1:16" x14ac:dyDescent="0.3">
      <c r="A46" s="16"/>
      <c r="B46" s="16"/>
      <c r="C46" s="15"/>
      <c r="D46" t="s">
        <v>177</v>
      </c>
      <c r="E46" t="s">
        <v>124</v>
      </c>
      <c r="F46" t="s">
        <v>123</v>
      </c>
      <c r="G46" t="s">
        <v>123</v>
      </c>
      <c r="H46" t="s">
        <v>123</v>
      </c>
      <c r="I46" t="s">
        <v>123</v>
      </c>
      <c r="J46" t="s">
        <v>123</v>
      </c>
      <c r="K46" t="s">
        <v>124</v>
      </c>
      <c r="L46" t="s">
        <v>124</v>
      </c>
      <c r="M46" t="s">
        <v>123</v>
      </c>
      <c r="N46" t="s">
        <v>123</v>
      </c>
      <c r="O46" t="s">
        <v>124</v>
      </c>
      <c r="P46" t="s">
        <v>124</v>
      </c>
    </row>
    <row r="47" spans="1:16" x14ac:dyDescent="0.3">
      <c r="A47" s="16"/>
      <c r="B47" s="16"/>
      <c r="C47" s="15"/>
      <c r="D47" t="s">
        <v>383</v>
      </c>
      <c r="E47" t="s">
        <v>126</v>
      </c>
      <c r="F47" t="s">
        <v>125</v>
      </c>
      <c r="G47" t="s">
        <v>125</v>
      </c>
      <c r="H47" t="s">
        <v>125</v>
      </c>
      <c r="I47" t="s">
        <v>125</v>
      </c>
      <c r="J47" t="s">
        <v>125</v>
      </c>
      <c r="K47" t="s">
        <v>126</v>
      </c>
      <c r="L47" t="s">
        <v>126</v>
      </c>
      <c r="M47" t="s">
        <v>125</v>
      </c>
      <c r="N47" t="s">
        <v>125</v>
      </c>
      <c r="O47" t="s">
        <v>126</v>
      </c>
      <c r="P47" t="s">
        <v>126</v>
      </c>
    </row>
    <row r="48" spans="1:16" x14ac:dyDescent="0.3">
      <c r="A48" s="16"/>
      <c r="B48" s="16"/>
      <c r="C48" s="15"/>
      <c r="D48" t="s">
        <v>384</v>
      </c>
      <c r="E48" s="9" t="s">
        <v>371</v>
      </c>
      <c r="F48" s="9" t="s">
        <v>372</v>
      </c>
      <c r="G48" s="9" t="s">
        <v>372</v>
      </c>
      <c r="H48" s="9" t="s">
        <v>372</v>
      </c>
      <c r="I48" s="9" t="s">
        <v>372</v>
      </c>
      <c r="J48" s="9" t="s">
        <v>372</v>
      </c>
      <c r="K48" s="9" t="s">
        <v>371</v>
      </c>
      <c r="L48" s="9" t="s">
        <v>371</v>
      </c>
      <c r="M48" s="9" t="s">
        <v>372</v>
      </c>
      <c r="N48" s="9" t="s">
        <v>372</v>
      </c>
      <c r="O48" s="9" t="s">
        <v>371</v>
      </c>
      <c r="P48" s="9" t="s">
        <v>371</v>
      </c>
    </row>
    <row r="49" spans="1:16" ht="13.75" customHeight="1" x14ac:dyDescent="0.3">
      <c r="A49" s="16"/>
      <c r="B49" s="16"/>
      <c r="C49" s="15"/>
      <c r="D49" t="s">
        <v>385</v>
      </c>
      <c r="E49" t="s">
        <v>127</v>
      </c>
      <c r="F49" t="s">
        <v>127</v>
      </c>
      <c r="G49" t="s">
        <v>127</v>
      </c>
      <c r="H49" t="s">
        <v>127</v>
      </c>
      <c r="I49" t="s">
        <v>127</v>
      </c>
      <c r="J49" t="s">
        <v>127</v>
      </c>
      <c r="K49" t="s">
        <v>127</v>
      </c>
      <c r="L49" t="s">
        <v>127</v>
      </c>
      <c r="M49" t="s">
        <v>127</v>
      </c>
      <c r="N49" t="s">
        <v>127</v>
      </c>
      <c r="O49" t="s">
        <v>127</v>
      </c>
      <c r="P49" t="s">
        <v>127</v>
      </c>
    </row>
    <row r="50" spans="1:16" x14ac:dyDescent="0.3">
      <c r="A50" s="16"/>
      <c r="B50" s="16"/>
      <c r="C50" s="15"/>
      <c r="D50" t="s">
        <v>179</v>
      </c>
      <c r="E50" t="s">
        <v>137</v>
      </c>
      <c r="F50" t="s">
        <v>136</v>
      </c>
      <c r="G50" t="s">
        <v>135</v>
      </c>
      <c r="H50" t="s">
        <v>135</v>
      </c>
      <c r="I50" t="s">
        <v>136</v>
      </c>
      <c r="J50" t="s">
        <v>135</v>
      </c>
      <c r="K50" t="s">
        <v>137</v>
      </c>
      <c r="L50" t="s">
        <v>137</v>
      </c>
      <c r="M50" t="s">
        <v>136</v>
      </c>
      <c r="N50" t="s">
        <v>136</v>
      </c>
      <c r="O50" t="s">
        <v>137</v>
      </c>
      <c r="P50" t="s">
        <v>137</v>
      </c>
    </row>
    <row r="51" spans="1:16" x14ac:dyDescent="0.3">
      <c r="A51" s="16"/>
      <c r="B51" s="16"/>
      <c r="C51" s="15" t="s">
        <v>302</v>
      </c>
      <c r="D51" t="s">
        <v>194</v>
      </c>
      <c r="E51" t="s">
        <v>180</v>
      </c>
      <c r="F51" t="s">
        <v>180</v>
      </c>
      <c r="G51" t="s">
        <v>180</v>
      </c>
      <c r="H51" t="s">
        <v>180</v>
      </c>
      <c r="I51" t="s">
        <v>180</v>
      </c>
      <c r="J51" t="s">
        <v>180</v>
      </c>
      <c r="K51" t="s">
        <v>180</v>
      </c>
      <c r="L51" t="s">
        <v>181</v>
      </c>
      <c r="M51" t="s">
        <v>180</v>
      </c>
      <c r="N51" t="s">
        <v>180</v>
      </c>
      <c r="O51" t="s">
        <v>180</v>
      </c>
      <c r="P51" t="s">
        <v>180</v>
      </c>
    </row>
    <row r="52" spans="1:16" x14ac:dyDescent="0.3">
      <c r="A52" s="16"/>
      <c r="B52" s="16"/>
      <c r="C52" s="15"/>
      <c r="D52" t="s">
        <v>195</v>
      </c>
      <c r="E52" t="s">
        <v>183</v>
      </c>
      <c r="F52" t="s">
        <v>182</v>
      </c>
      <c r="G52" t="s">
        <v>182</v>
      </c>
      <c r="H52" t="s">
        <v>182</v>
      </c>
      <c r="I52" t="s">
        <v>182</v>
      </c>
      <c r="J52" t="s">
        <v>182</v>
      </c>
      <c r="K52" t="s">
        <v>183</v>
      </c>
      <c r="L52" t="s">
        <v>183</v>
      </c>
      <c r="M52" t="s">
        <v>182</v>
      </c>
      <c r="N52" t="s">
        <v>182</v>
      </c>
      <c r="O52" t="s">
        <v>183</v>
      </c>
      <c r="P52" t="s">
        <v>183</v>
      </c>
    </row>
    <row r="53" spans="1:16" x14ac:dyDescent="0.3">
      <c r="A53" s="16"/>
      <c r="B53" s="16"/>
      <c r="C53" s="15"/>
      <c r="D53" t="s">
        <v>196</v>
      </c>
      <c r="E53" t="s">
        <v>184</v>
      </c>
      <c r="F53" t="s">
        <v>184</v>
      </c>
      <c r="G53" t="s">
        <v>184</v>
      </c>
      <c r="H53" t="s">
        <v>184</v>
      </c>
      <c r="I53" t="s">
        <v>184</v>
      </c>
      <c r="J53" t="s">
        <v>184</v>
      </c>
      <c r="K53" t="s">
        <v>184</v>
      </c>
      <c r="L53" t="s">
        <v>184</v>
      </c>
      <c r="M53" t="s">
        <v>184</v>
      </c>
      <c r="N53" t="s">
        <v>184</v>
      </c>
      <c r="O53" t="s">
        <v>184</v>
      </c>
      <c r="P53" t="s">
        <v>184</v>
      </c>
    </row>
    <row r="54" spans="1:16" x14ac:dyDescent="0.3">
      <c r="A54" s="16"/>
      <c r="B54" s="16"/>
      <c r="C54" s="15"/>
      <c r="D54" t="s">
        <v>197</v>
      </c>
      <c r="E54" t="s">
        <v>186</v>
      </c>
      <c r="F54" t="s">
        <v>185</v>
      </c>
      <c r="G54" t="s">
        <v>185</v>
      </c>
      <c r="H54" t="s">
        <v>185</v>
      </c>
      <c r="I54" t="s">
        <v>185</v>
      </c>
      <c r="J54" t="s">
        <v>185</v>
      </c>
      <c r="K54" t="s">
        <v>186</v>
      </c>
      <c r="L54" t="s">
        <v>186</v>
      </c>
      <c r="M54" t="s">
        <v>185</v>
      </c>
      <c r="N54" t="s">
        <v>185</v>
      </c>
      <c r="O54" t="s">
        <v>186</v>
      </c>
      <c r="P54" t="s">
        <v>186</v>
      </c>
    </row>
    <row r="55" spans="1:16" x14ac:dyDescent="0.3">
      <c r="A55" s="16"/>
      <c r="B55" s="16"/>
      <c r="C55" s="15"/>
      <c r="D55" t="s">
        <v>198</v>
      </c>
      <c r="E55" t="s">
        <v>188</v>
      </c>
      <c r="F55" t="s">
        <v>187</v>
      </c>
      <c r="G55" t="s">
        <v>187</v>
      </c>
      <c r="H55" t="s">
        <v>187</v>
      </c>
      <c r="I55" t="s">
        <v>187</v>
      </c>
      <c r="J55" t="s">
        <v>187</v>
      </c>
      <c r="K55" t="s">
        <v>188</v>
      </c>
      <c r="L55" t="s">
        <v>188</v>
      </c>
      <c r="M55" t="s">
        <v>187</v>
      </c>
      <c r="N55" t="s">
        <v>187</v>
      </c>
      <c r="O55" t="s">
        <v>188</v>
      </c>
      <c r="P55" t="s">
        <v>188</v>
      </c>
    </row>
    <row r="56" spans="1:16" x14ac:dyDescent="0.3">
      <c r="A56" s="16"/>
      <c r="B56" s="16"/>
      <c r="C56" s="15"/>
      <c r="D56" t="s">
        <v>199</v>
      </c>
      <c r="E56" t="s">
        <v>190</v>
      </c>
      <c r="F56" t="s">
        <v>189</v>
      </c>
      <c r="G56" t="s">
        <v>189</v>
      </c>
      <c r="H56" t="s">
        <v>189</v>
      </c>
      <c r="I56" t="s">
        <v>189</v>
      </c>
      <c r="J56" t="s">
        <v>189</v>
      </c>
      <c r="K56" t="s">
        <v>190</v>
      </c>
      <c r="L56" t="s">
        <v>190</v>
      </c>
      <c r="M56" t="s">
        <v>189</v>
      </c>
      <c r="N56" t="s">
        <v>189</v>
      </c>
      <c r="O56" t="s">
        <v>190</v>
      </c>
      <c r="P56" t="s">
        <v>190</v>
      </c>
    </row>
    <row r="57" spans="1:16" x14ac:dyDescent="0.3">
      <c r="A57" s="16"/>
      <c r="B57" s="16"/>
      <c r="C57" s="15"/>
      <c r="D57" t="s">
        <v>386</v>
      </c>
      <c r="E57" t="s">
        <v>192</v>
      </c>
      <c r="F57" t="s">
        <v>191</v>
      </c>
      <c r="G57" t="s">
        <v>191</v>
      </c>
      <c r="H57" t="s">
        <v>191</v>
      </c>
      <c r="I57" t="s">
        <v>191</v>
      </c>
      <c r="J57" t="s">
        <v>191</v>
      </c>
      <c r="K57" t="s">
        <v>192</v>
      </c>
      <c r="L57" t="s">
        <v>192</v>
      </c>
      <c r="M57" t="s">
        <v>191</v>
      </c>
      <c r="N57" t="s">
        <v>191</v>
      </c>
      <c r="O57" t="s">
        <v>192</v>
      </c>
      <c r="P57" t="s">
        <v>192</v>
      </c>
    </row>
    <row r="58" spans="1:16" x14ac:dyDescent="0.3">
      <c r="A58" s="16"/>
      <c r="B58" s="16"/>
      <c r="C58" s="15"/>
      <c r="D58" t="s">
        <v>387</v>
      </c>
      <c r="E58" s="9" t="s">
        <v>374</v>
      </c>
      <c r="F58" s="9" t="s">
        <v>375</v>
      </c>
      <c r="G58" s="9" t="s">
        <v>375</v>
      </c>
      <c r="H58" s="9" t="s">
        <v>375</v>
      </c>
      <c r="I58" s="9" t="s">
        <v>375</v>
      </c>
      <c r="J58" s="9" t="s">
        <v>375</v>
      </c>
      <c r="K58" s="9" t="s">
        <v>374</v>
      </c>
      <c r="L58" s="9" t="s">
        <v>374</v>
      </c>
      <c r="M58" s="9" t="s">
        <v>375</v>
      </c>
      <c r="N58" s="9" t="s">
        <v>375</v>
      </c>
      <c r="O58" s="9" t="s">
        <v>374</v>
      </c>
      <c r="P58" s="9" t="s">
        <v>374</v>
      </c>
    </row>
    <row r="59" spans="1:16" x14ac:dyDescent="0.3">
      <c r="A59" s="16"/>
      <c r="B59" s="16"/>
      <c r="C59" s="15"/>
      <c r="D59" t="s">
        <v>201</v>
      </c>
      <c r="E59" t="s">
        <v>193</v>
      </c>
      <c r="F59" t="s">
        <v>193</v>
      </c>
      <c r="G59" t="s">
        <v>193</v>
      </c>
      <c r="H59" t="s">
        <v>193</v>
      </c>
      <c r="I59" t="s">
        <v>193</v>
      </c>
      <c r="J59" t="s">
        <v>193</v>
      </c>
      <c r="K59" t="s">
        <v>193</v>
      </c>
      <c r="L59" t="s">
        <v>193</v>
      </c>
      <c r="M59" t="s">
        <v>193</v>
      </c>
      <c r="N59" t="s">
        <v>193</v>
      </c>
      <c r="O59" t="s">
        <v>193</v>
      </c>
      <c r="P59" t="s">
        <v>193</v>
      </c>
    </row>
    <row r="60" spans="1:16" x14ac:dyDescent="0.3">
      <c r="A60" s="16"/>
      <c r="B60" s="16"/>
      <c r="C60" s="15"/>
      <c r="D60" t="s">
        <v>202</v>
      </c>
      <c r="E60" t="s">
        <v>203</v>
      </c>
      <c r="F60" t="s">
        <v>701</v>
      </c>
      <c r="G60" t="s">
        <v>204</v>
      </c>
      <c r="H60" t="s">
        <v>204</v>
      </c>
      <c r="I60" t="s">
        <v>701</v>
      </c>
      <c r="J60" t="s">
        <v>204</v>
      </c>
      <c r="K60" t="s">
        <v>203</v>
      </c>
      <c r="L60" t="s">
        <v>203</v>
      </c>
      <c r="M60" t="s">
        <v>701</v>
      </c>
      <c r="N60" t="s">
        <v>701</v>
      </c>
      <c r="O60" t="s">
        <v>203</v>
      </c>
      <c r="P60" t="s">
        <v>203</v>
      </c>
    </row>
    <row r="61" spans="1:16" x14ac:dyDescent="0.3">
      <c r="A61" s="16"/>
      <c r="B61" s="16"/>
      <c r="C61" s="15" t="s">
        <v>916</v>
      </c>
      <c r="D61" t="s">
        <v>1027</v>
      </c>
      <c r="E61" t="s">
        <v>1007</v>
      </c>
      <c r="F61" t="s">
        <v>1007</v>
      </c>
      <c r="G61" t="s">
        <v>1007</v>
      </c>
      <c r="H61" t="s">
        <v>1007</v>
      </c>
      <c r="I61" t="s">
        <v>1007</v>
      </c>
      <c r="J61" t="s">
        <v>1007</v>
      </c>
      <c r="K61" t="s">
        <v>1007</v>
      </c>
      <c r="L61" t="s">
        <v>1007</v>
      </c>
      <c r="M61" t="s">
        <v>1007</v>
      </c>
      <c r="N61" t="s">
        <v>1007</v>
      </c>
      <c r="O61" t="s">
        <v>1007</v>
      </c>
      <c r="P61" t="s">
        <v>1007</v>
      </c>
    </row>
    <row r="62" spans="1:16" x14ac:dyDescent="0.3">
      <c r="A62" s="16"/>
      <c r="B62" s="16"/>
      <c r="C62" s="15"/>
      <c r="D62" t="s">
        <v>1026</v>
      </c>
      <c r="E62" t="s">
        <v>1005</v>
      </c>
      <c r="F62" t="s">
        <v>1006</v>
      </c>
      <c r="G62" t="s">
        <v>1006</v>
      </c>
      <c r="H62" t="s">
        <v>1006</v>
      </c>
      <c r="I62" t="s">
        <v>1006</v>
      </c>
      <c r="J62" t="s">
        <v>1006</v>
      </c>
      <c r="K62" t="s">
        <v>1005</v>
      </c>
      <c r="L62" t="s">
        <v>1005</v>
      </c>
      <c r="M62" t="s">
        <v>1006</v>
      </c>
      <c r="N62" t="s">
        <v>1006</v>
      </c>
      <c r="O62" t="s">
        <v>1005</v>
      </c>
      <c r="P62" t="s">
        <v>1005</v>
      </c>
    </row>
    <row r="63" spans="1:16" x14ac:dyDescent="0.3">
      <c r="A63" s="16"/>
      <c r="B63" s="16"/>
      <c r="C63" s="15"/>
      <c r="D63" t="s">
        <v>1025</v>
      </c>
      <c r="E63" t="s">
        <v>1004</v>
      </c>
      <c r="F63" t="s">
        <v>1004</v>
      </c>
      <c r="G63" t="s">
        <v>1004</v>
      </c>
      <c r="H63" t="s">
        <v>1004</v>
      </c>
      <c r="I63" t="s">
        <v>1004</v>
      </c>
      <c r="J63" t="s">
        <v>1004</v>
      </c>
      <c r="K63" t="s">
        <v>1004</v>
      </c>
      <c r="L63" t="s">
        <v>1004</v>
      </c>
      <c r="M63" t="s">
        <v>1004</v>
      </c>
      <c r="N63" t="s">
        <v>1004</v>
      </c>
      <c r="O63" t="s">
        <v>1004</v>
      </c>
      <c r="P63" t="s">
        <v>1004</v>
      </c>
    </row>
    <row r="64" spans="1:16" x14ac:dyDescent="0.3">
      <c r="A64" s="16"/>
      <c r="B64" s="16"/>
      <c r="C64" s="15"/>
      <c r="D64" t="s">
        <v>1024</v>
      </c>
      <c r="E64" t="s">
        <v>1002</v>
      </c>
      <c r="F64" t="s">
        <v>1003</v>
      </c>
      <c r="G64" t="s">
        <v>1003</v>
      </c>
      <c r="H64" t="s">
        <v>1003</v>
      </c>
      <c r="I64" t="s">
        <v>1003</v>
      </c>
      <c r="J64" t="s">
        <v>1003</v>
      </c>
      <c r="K64" t="s">
        <v>1002</v>
      </c>
      <c r="L64" t="s">
        <v>1002</v>
      </c>
      <c r="M64" t="s">
        <v>1003</v>
      </c>
      <c r="N64" t="s">
        <v>1003</v>
      </c>
      <c r="O64" t="s">
        <v>1002</v>
      </c>
      <c r="P64" t="s">
        <v>1002</v>
      </c>
    </row>
    <row r="65" spans="1:16" x14ac:dyDescent="0.3">
      <c r="A65" s="16"/>
      <c r="B65" s="16"/>
      <c r="C65" s="15"/>
      <c r="D65" t="s">
        <v>1023</v>
      </c>
      <c r="E65" t="s">
        <v>1000</v>
      </c>
      <c r="F65" t="s">
        <v>1001</v>
      </c>
      <c r="G65" t="s">
        <v>1001</v>
      </c>
      <c r="H65" t="s">
        <v>1001</v>
      </c>
      <c r="I65" t="s">
        <v>1001</v>
      </c>
      <c r="J65" t="s">
        <v>1001</v>
      </c>
      <c r="K65" t="s">
        <v>1000</v>
      </c>
      <c r="L65" t="s">
        <v>1000</v>
      </c>
      <c r="M65" t="s">
        <v>1001</v>
      </c>
      <c r="N65" t="s">
        <v>1001</v>
      </c>
      <c r="O65" t="s">
        <v>1000</v>
      </c>
      <c r="P65" t="s">
        <v>1000</v>
      </c>
    </row>
    <row r="66" spans="1:16" x14ac:dyDescent="0.3">
      <c r="A66" s="16"/>
      <c r="B66" s="16"/>
      <c r="C66" s="15"/>
      <c r="D66" t="s">
        <v>1022</v>
      </c>
      <c r="E66" t="s">
        <v>998</v>
      </c>
      <c r="F66" t="s">
        <v>999</v>
      </c>
      <c r="G66" t="s">
        <v>999</v>
      </c>
      <c r="H66" t="s">
        <v>999</v>
      </c>
      <c r="I66" t="s">
        <v>999</v>
      </c>
      <c r="J66" t="s">
        <v>999</v>
      </c>
      <c r="K66" t="s">
        <v>998</v>
      </c>
      <c r="L66" t="s">
        <v>998</v>
      </c>
      <c r="M66" t="s">
        <v>999</v>
      </c>
      <c r="N66" t="s">
        <v>999</v>
      </c>
      <c r="O66" t="s">
        <v>998</v>
      </c>
      <c r="P66" t="s">
        <v>998</v>
      </c>
    </row>
    <row r="67" spans="1:16" x14ac:dyDescent="0.3">
      <c r="A67" s="16"/>
      <c r="B67" s="16"/>
      <c r="C67" s="15"/>
      <c r="D67" t="s">
        <v>1021</v>
      </c>
      <c r="E67" t="s">
        <v>996</v>
      </c>
      <c r="F67" t="s">
        <v>997</v>
      </c>
      <c r="G67" t="s">
        <v>997</v>
      </c>
      <c r="H67" t="s">
        <v>997</v>
      </c>
      <c r="I67" t="s">
        <v>997</v>
      </c>
      <c r="J67" t="s">
        <v>997</v>
      </c>
      <c r="K67" t="s">
        <v>996</v>
      </c>
      <c r="L67" t="s">
        <v>996</v>
      </c>
      <c r="M67" t="s">
        <v>997</v>
      </c>
      <c r="N67" t="s">
        <v>997</v>
      </c>
      <c r="O67" t="s">
        <v>996</v>
      </c>
      <c r="P67" t="s">
        <v>996</v>
      </c>
    </row>
    <row r="68" spans="1:16" x14ac:dyDescent="0.3">
      <c r="A68" s="16"/>
      <c r="B68" s="16"/>
      <c r="C68" s="15"/>
      <c r="D68" t="s">
        <v>1020</v>
      </c>
      <c r="E68" s="9" t="s">
        <v>994</v>
      </c>
      <c r="F68" s="9" t="s">
        <v>995</v>
      </c>
      <c r="G68" s="9" t="s">
        <v>995</v>
      </c>
      <c r="H68" s="9" t="s">
        <v>995</v>
      </c>
      <c r="I68" s="9" t="s">
        <v>995</v>
      </c>
      <c r="J68" s="9" t="s">
        <v>995</v>
      </c>
      <c r="K68" s="9" t="s">
        <v>994</v>
      </c>
      <c r="L68" s="9" t="s">
        <v>994</v>
      </c>
      <c r="M68" s="9" t="s">
        <v>995</v>
      </c>
      <c r="N68" s="9" t="s">
        <v>995</v>
      </c>
      <c r="O68" s="9" t="s">
        <v>994</v>
      </c>
      <c r="P68" s="9" t="s">
        <v>994</v>
      </c>
    </row>
    <row r="69" spans="1:16" x14ac:dyDescent="0.3">
      <c r="A69" s="16"/>
      <c r="B69" s="16"/>
      <c r="C69" s="15"/>
      <c r="D69" t="s">
        <v>1019</v>
      </c>
      <c r="E69" t="s">
        <v>993</v>
      </c>
      <c r="F69" t="s">
        <v>993</v>
      </c>
      <c r="G69" t="s">
        <v>993</v>
      </c>
      <c r="H69" t="s">
        <v>993</v>
      </c>
      <c r="I69" t="s">
        <v>993</v>
      </c>
      <c r="J69" t="s">
        <v>993</v>
      </c>
      <c r="K69" t="s">
        <v>993</v>
      </c>
      <c r="L69" t="s">
        <v>993</v>
      </c>
      <c r="M69" t="s">
        <v>993</v>
      </c>
      <c r="N69" t="s">
        <v>993</v>
      </c>
      <c r="O69" t="s">
        <v>993</v>
      </c>
      <c r="P69" t="s">
        <v>993</v>
      </c>
    </row>
    <row r="70" spans="1:16" x14ac:dyDescent="0.3">
      <c r="A70" s="16"/>
      <c r="B70" s="16"/>
      <c r="C70" s="15"/>
      <c r="D70" t="s">
        <v>1018</v>
      </c>
      <c r="E70" t="s">
        <v>991</v>
      </c>
      <c r="F70" t="s">
        <v>992</v>
      </c>
      <c r="G70" t="s">
        <v>992</v>
      </c>
      <c r="H70" t="s">
        <v>992</v>
      </c>
      <c r="I70" t="s">
        <v>992</v>
      </c>
      <c r="J70" t="s">
        <v>992</v>
      </c>
      <c r="K70" t="s">
        <v>991</v>
      </c>
      <c r="L70" t="s">
        <v>991</v>
      </c>
      <c r="M70" t="s">
        <v>992</v>
      </c>
      <c r="N70" t="s">
        <v>992</v>
      </c>
      <c r="O70" t="s">
        <v>991</v>
      </c>
      <c r="P70" t="s">
        <v>991</v>
      </c>
    </row>
    <row r="71" spans="1:16" x14ac:dyDescent="0.3">
      <c r="A71" s="16"/>
      <c r="B71" s="16"/>
      <c r="C71" s="15" t="s">
        <v>915</v>
      </c>
      <c r="D71" t="s">
        <v>1017</v>
      </c>
      <c r="E71" t="s">
        <v>990</v>
      </c>
      <c r="F71" t="s">
        <v>990</v>
      </c>
      <c r="G71" t="s">
        <v>990</v>
      </c>
      <c r="H71" t="s">
        <v>990</v>
      </c>
      <c r="I71" t="s">
        <v>990</v>
      </c>
      <c r="J71" t="s">
        <v>990</v>
      </c>
      <c r="K71" t="s">
        <v>990</v>
      </c>
      <c r="L71" t="s">
        <v>990</v>
      </c>
      <c r="M71" t="s">
        <v>990</v>
      </c>
      <c r="N71" t="s">
        <v>990</v>
      </c>
      <c r="O71" t="s">
        <v>990</v>
      </c>
      <c r="P71" t="s">
        <v>990</v>
      </c>
    </row>
    <row r="72" spans="1:16" x14ac:dyDescent="0.3">
      <c r="A72" s="16"/>
      <c r="B72" s="16"/>
      <c r="C72" s="15"/>
      <c r="D72" t="s">
        <v>1016</v>
      </c>
      <c r="E72" t="s">
        <v>988</v>
      </c>
      <c r="F72" t="s">
        <v>989</v>
      </c>
      <c r="G72" t="s">
        <v>989</v>
      </c>
      <c r="H72" t="s">
        <v>989</v>
      </c>
      <c r="I72" t="s">
        <v>989</v>
      </c>
      <c r="J72" t="s">
        <v>989</v>
      </c>
      <c r="K72" t="s">
        <v>988</v>
      </c>
      <c r="L72" t="s">
        <v>988</v>
      </c>
      <c r="M72" t="s">
        <v>989</v>
      </c>
      <c r="N72" t="s">
        <v>989</v>
      </c>
      <c r="O72" t="s">
        <v>988</v>
      </c>
      <c r="P72" t="s">
        <v>988</v>
      </c>
    </row>
    <row r="73" spans="1:16" x14ac:dyDescent="0.3">
      <c r="A73" s="16"/>
      <c r="B73" s="16"/>
      <c r="C73" s="15"/>
      <c r="D73" t="s">
        <v>1015</v>
      </c>
      <c r="E73" t="s">
        <v>987</v>
      </c>
      <c r="F73" t="s">
        <v>987</v>
      </c>
      <c r="G73" t="s">
        <v>987</v>
      </c>
      <c r="H73" t="s">
        <v>987</v>
      </c>
      <c r="I73" t="s">
        <v>987</v>
      </c>
      <c r="J73" t="s">
        <v>987</v>
      </c>
      <c r="K73" t="s">
        <v>987</v>
      </c>
      <c r="L73" t="s">
        <v>987</v>
      </c>
      <c r="M73" t="s">
        <v>987</v>
      </c>
      <c r="N73" t="s">
        <v>987</v>
      </c>
      <c r="O73" t="s">
        <v>987</v>
      </c>
      <c r="P73" t="s">
        <v>987</v>
      </c>
    </row>
    <row r="74" spans="1:16" x14ac:dyDescent="0.3">
      <c r="A74" s="16"/>
      <c r="B74" s="16"/>
      <c r="C74" s="15"/>
      <c r="D74" t="s">
        <v>1014</v>
      </c>
      <c r="E74" t="s">
        <v>985</v>
      </c>
      <c r="F74" t="s">
        <v>986</v>
      </c>
      <c r="G74" t="s">
        <v>986</v>
      </c>
      <c r="H74" t="s">
        <v>986</v>
      </c>
      <c r="I74" t="s">
        <v>986</v>
      </c>
      <c r="J74" t="s">
        <v>986</v>
      </c>
      <c r="K74" t="s">
        <v>985</v>
      </c>
      <c r="L74" t="s">
        <v>985</v>
      </c>
      <c r="M74" t="s">
        <v>986</v>
      </c>
      <c r="N74" t="s">
        <v>986</v>
      </c>
      <c r="O74" t="s">
        <v>985</v>
      </c>
      <c r="P74" t="s">
        <v>985</v>
      </c>
    </row>
    <row r="75" spans="1:16" x14ac:dyDescent="0.3">
      <c r="A75" s="16"/>
      <c r="B75" s="16"/>
      <c r="C75" s="15"/>
      <c r="D75" t="s">
        <v>1013</v>
      </c>
      <c r="E75" t="s">
        <v>983</v>
      </c>
      <c r="F75" t="s">
        <v>984</v>
      </c>
      <c r="G75" t="s">
        <v>984</v>
      </c>
      <c r="H75" t="s">
        <v>984</v>
      </c>
      <c r="I75" t="s">
        <v>984</v>
      </c>
      <c r="J75" t="s">
        <v>984</v>
      </c>
      <c r="K75" t="s">
        <v>983</v>
      </c>
      <c r="L75" t="s">
        <v>983</v>
      </c>
      <c r="M75" t="s">
        <v>984</v>
      </c>
      <c r="N75" t="s">
        <v>984</v>
      </c>
      <c r="O75" t="s">
        <v>983</v>
      </c>
      <c r="P75" t="s">
        <v>983</v>
      </c>
    </row>
    <row r="76" spans="1:16" x14ac:dyDescent="0.3">
      <c r="A76" s="16"/>
      <c r="B76" s="16"/>
      <c r="C76" s="15"/>
      <c r="D76" t="s">
        <v>1012</v>
      </c>
      <c r="E76" t="s">
        <v>981</v>
      </c>
      <c r="F76" t="s">
        <v>982</v>
      </c>
      <c r="G76" t="s">
        <v>982</v>
      </c>
      <c r="H76" t="s">
        <v>982</v>
      </c>
      <c r="I76" t="s">
        <v>982</v>
      </c>
      <c r="J76" t="s">
        <v>982</v>
      </c>
      <c r="K76" t="s">
        <v>981</v>
      </c>
      <c r="L76" t="s">
        <v>981</v>
      </c>
      <c r="M76" t="s">
        <v>982</v>
      </c>
      <c r="N76" t="s">
        <v>982</v>
      </c>
      <c r="O76" t="s">
        <v>981</v>
      </c>
      <c r="P76" t="s">
        <v>981</v>
      </c>
    </row>
    <row r="77" spans="1:16" x14ac:dyDescent="0.3">
      <c r="A77" s="16"/>
      <c r="B77" s="16"/>
      <c r="C77" s="15"/>
      <c r="D77" t="s">
        <v>1011</v>
      </c>
      <c r="E77" t="s">
        <v>979</v>
      </c>
      <c r="F77" t="s">
        <v>980</v>
      </c>
      <c r="G77" t="s">
        <v>980</v>
      </c>
      <c r="H77" t="s">
        <v>980</v>
      </c>
      <c r="I77" t="s">
        <v>980</v>
      </c>
      <c r="J77" t="s">
        <v>980</v>
      </c>
      <c r="K77" t="s">
        <v>979</v>
      </c>
      <c r="L77" t="s">
        <v>979</v>
      </c>
      <c r="M77" t="s">
        <v>980</v>
      </c>
      <c r="N77" t="s">
        <v>980</v>
      </c>
      <c r="O77" t="s">
        <v>979</v>
      </c>
      <c r="P77" t="s">
        <v>979</v>
      </c>
    </row>
    <row r="78" spans="1:16" x14ac:dyDescent="0.3">
      <c r="A78" s="16"/>
      <c r="B78" s="16"/>
      <c r="C78" s="15"/>
      <c r="D78" t="s">
        <v>1010</v>
      </c>
      <c r="E78" s="9" t="s">
        <v>977</v>
      </c>
      <c r="F78" s="9" t="s">
        <v>978</v>
      </c>
      <c r="G78" s="9" t="s">
        <v>978</v>
      </c>
      <c r="H78" s="9" t="s">
        <v>978</v>
      </c>
      <c r="I78" s="9" t="s">
        <v>978</v>
      </c>
      <c r="J78" s="9" t="s">
        <v>978</v>
      </c>
      <c r="K78" s="9" t="s">
        <v>977</v>
      </c>
      <c r="L78" s="9" t="s">
        <v>977</v>
      </c>
      <c r="M78" s="9" t="s">
        <v>978</v>
      </c>
      <c r="N78" s="9" t="s">
        <v>978</v>
      </c>
      <c r="O78" s="9" t="s">
        <v>977</v>
      </c>
      <c r="P78" s="9" t="s">
        <v>977</v>
      </c>
    </row>
    <row r="79" spans="1:16" x14ac:dyDescent="0.3">
      <c r="A79" s="16"/>
      <c r="B79" s="16"/>
      <c r="C79" s="15"/>
      <c r="D79" t="s">
        <v>1009</v>
      </c>
      <c r="E79" t="s">
        <v>976</v>
      </c>
      <c r="F79" t="s">
        <v>976</v>
      </c>
      <c r="G79" t="s">
        <v>976</v>
      </c>
      <c r="H79" t="s">
        <v>976</v>
      </c>
      <c r="I79" t="s">
        <v>976</v>
      </c>
      <c r="J79" t="s">
        <v>976</v>
      </c>
      <c r="K79" t="s">
        <v>976</v>
      </c>
      <c r="L79" t="s">
        <v>976</v>
      </c>
      <c r="M79" t="s">
        <v>976</v>
      </c>
      <c r="N79" t="s">
        <v>976</v>
      </c>
      <c r="O79" t="s">
        <v>976</v>
      </c>
      <c r="P79" t="s">
        <v>976</v>
      </c>
    </row>
    <row r="80" spans="1:16" x14ac:dyDescent="0.3">
      <c r="A80" s="16"/>
      <c r="B80" s="16"/>
      <c r="C80" s="15"/>
      <c r="D80" t="s">
        <v>1008</v>
      </c>
      <c r="E80" t="s">
        <v>974</v>
      </c>
      <c r="F80" t="s">
        <v>975</v>
      </c>
      <c r="G80" t="s">
        <v>975</v>
      </c>
      <c r="H80" t="s">
        <v>975</v>
      </c>
      <c r="I80" t="s">
        <v>975</v>
      </c>
      <c r="J80" t="s">
        <v>975</v>
      </c>
      <c r="K80" t="s">
        <v>974</v>
      </c>
      <c r="L80" t="s">
        <v>974</v>
      </c>
      <c r="M80" t="s">
        <v>975</v>
      </c>
      <c r="N80" t="s">
        <v>975</v>
      </c>
      <c r="O80" t="s">
        <v>974</v>
      </c>
      <c r="P80" t="s">
        <v>974</v>
      </c>
    </row>
  </sheetData>
  <mergeCells count="10">
    <mergeCell ref="C61:C70"/>
    <mergeCell ref="C71:C80"/>
    <mergeCell ref="B1:B80"/>
    <mergeCell ref="A1:A80"/>
    <mergeCell ref="C51:C60"/>
    <mergeCell ref="C12:C21"/>
    <mergeCell ref="C22:C30"/>
    <mergeCell ref="C31:C40"/>
    <mergeCell ref="C41:C50"/>
    <mergeCell ref="C2:C1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B29C-A82C-48D3-BA00-60A3B9ACC803}">
  <dimension ref="A1:Y64"/>
  <sheetViews>
    <sheetView zoomScale="130" zoomScaleNormal="130" workbookViewId="0">
      <selection activeCell="E58" sqref="E58"/>
    </sheetView>
  </sheetViews>
  <sheetFormatPr defaultRowHeight="14" x14ac:dyDescent="0.3"/>
  <cols>
    <col min="2" max="2" width="21" customWidth="1"/>
    <col min="3" max="3" width="22.4140625" style="1" customWidth="1"/>
    <col min="4" max="4" width="59.58203125" customWidth="1"/>
    <col min="5" max="5" width="36.33203125" customWidth="1"/>
    <col min="6" max="6" width="41.33203125" customWidth="1"/>
    <col min="7" max="7" width="13.75" bestFit="1" customWidth="1"/>
    <col min="8" max="8" width="11" bestFit="1" customWidth="1"/>
    <col min="9" max="9" width="12.9140625" bestFit="1" customWidth="1"/>
    <col min="10" max="10" width="10.08203125" bestFit="1" customWidth="1"/>
    <col min="11" max="11" width="42.58203125" customWidth="1"/>
    <col min="12" max="12" width="13.75" bestFit="1" customWidth="1"/>
    <col min="13" max="13" width="11" bestFit="1" customWidth="1"/>
    <col min="14" max="14" width="12.9140625" bestFit="1" customWidth="1"/>
    <col min="15" max="15" width="10.08203125" bestFit="1" customWidth="1"/>
    <col min="16" max="16" width="42.08203125" customWidth="1"/>
    <col min="17" max="17" width="13.75" bestFit="1" customWidth="1"/>
    <col min="18" max="18" width="11" bestFit="1" customWidth="1"/>
    <col min="19" max="19" width="12.9140625" bestFit="1" customWidth="1"/>
    <col min="20" max="20" width="10.08203125" bestFit="1" customWidth="1"/>
    <col min="21" max="21" width="22.6640625" bestFit="1" customWidth="1"/>
    <col min="22" max="22" width="13.75" bestFit="1" customWidth="1"/>
    <col min="23" max="23" width="11" bestFit="1" customWidth="1"/>
    <col min="24" max="24" width="12.9140625" bestFit="1" customWidth="1"/>
    <col min="25" max="25" width="10.08203125" bestFit="1" customWidth="1"/>
  </cols>
  <sheetData>
    <row r="1" spans="1:25" x14ac:dyDescent="0.3">
      <c r="A1" s="16" t="s">
        <v>317</v>
      </c>
      <c r="B1" s="16" t="s">
        <v>303</v>
      </c>
      <c r="C1" s="1" t="s">
        <v>9</v>
      </c>
      <c r="D1" s="2" t="s">
        <v>42</v>
      </c>
      <c r="E1" s="2" t="s">
        <v>13</v>
      </c>
      <c r="F1" s="2" t="s">
        <v>329</v>
      </c>
      <c r="G1" s="2" t="s">
        <v>305</v>
      </c>
      <c r="H1" s="2" t="s">
        <v>306</v>
      </c>
      <c r="I1" s="2" t="s">
        <v>307</v>
      </c>
      <c r="J1" s="2" t="s">
        <v>308</v>
      </c>
      <c r="K1" s="2" t="s">
        <v>330</v>
      </c>
      <c r="L1" s="2" t="s">
        <v>309</v>
      </c>
      <c r="M1" s="2" t="s">
        <v>310</v>
      </c>
      <c r="N1" s="2" t="s">
        <v>311</v>
      </c>
      <c r="O1" s="2" t="s">
        <v>312</v>
      </c>
      <c r="P1" s="2" t="s">
        <v>331</v>
      </c>
      <c r="Q1" s="2" t="s">
        <v>313</v>
      </c>
      <c r="R1" s="2" t="s">
        <v>314</v>
      </c>
      <c r="S1" s="2" t="s">
        <v>315</v>
      </c>
      <c r="T1" s="2" t="s">
        <v>316</v>
      </c>
      <c r="U1" s="2"/>
      <c r="V1" s="2"/>
      <c r="W1" s="2"/>
      <c r="X1" s="2"/>
      <c r="Y1" s="2"/>
    </row>
    <row r="2" spans="1:25" x14ac:dyDescent="0.3">
      <c r="A2" s="16"/>
      <c r="B2" s="16"/>
      <c r="C2" s="15" t="s">
        <v>10</v>
      </c>
      <c r="D2" s="2" t="s">
        <v>64</v>
      </c>
      <c r="E2" s="1" t="s">
        <v>1</v>
      </c>
      <c r="F2" t="s">
        <v>57</v>
      </c>
      <c r="G2">
        <v>1</v>
      </c>
      <c r="H2">
        <v>1</v>
      </c>
      <c r="I2">
        <v>3</v>
      </c>
      <c r="J2">
        <v>31</v>
      </c>
      <c r="K2" t="s">
        <v>43</v>
      </c>
      <c r="L2">
        <v>4</v>
      </c>
      <c r="M2">
        <v>1</v>
      </c>
      <c r="N2">
        <v>11</v>
      </c>
      <c r="O2">
        <v>30</v>
      </c>
      <c r="P2" t="s">
        <v>57</v>
      </c>
      <c r="Q2">
        <v>12</v>
      </c>
      <c r="R2">
        <v>1</v>
      </c>
      <c r="S2">
        <v>12</v>
      </c>
      <c r="T2">
        <v>31</v>
      </c>
    </row>
    <row r="3" spans="1:25" x14ac:dyDescent="0.3">
      <c r="A3" s="16"/>
      <c r="B3" s="16"/>
      <c r="C3" s="15"/>
      <c r="D3" s="2" t="s">
        <v>65</v>
      </c>
      <c r="E3" s="1" t="s">
        <v>1</v>
      </c>
      <c r="F3" t="s">
        <v>58</v>
      </c>
      <c r="G3">
        <v>1</v>
      </c>
      <c r="H3">
        <v>1</v>
      </c>
      <c r="I3">
        <v>5</v>
      </c>
      <c r="J3">
        <v>31</v>
      </c>
      <c r="K3" t="s">
        <v>59</v>
      </c>
      <c r="L3">
        <v>6</v>
      </c>
      <c r="M3">
        <v>1</v>
      </c>
      <c r="N3">
        <v>9</v>
      </c>
      <c r="O3">
        <v>30</v>
      </c>
      <c r="P3" t="s">
        <v>58</v>
      </c>
      <c r="Q3">
        <v>10</v>
      </c>
      <c r="R3">
        <v>1</v>
      </c>
      <c r="S3">
        <v>12</v>
      </c>
      <c r="T3">
        <v>31</v>
      </c>
    </row>
    <row r="4" spans="1:25" x14ac:dyDescent="0.3">
      <c r="A4" s="16"/>
      <c r="B4" s="16"/>
      <c r="C4" s="15"/>
      <c r="D4" s="2" t="s">
        <v>66</v>
      </c>
      <c r="E4" s="1" t="s">
        <v>5</v>
      </c>
      <c r="F4" t="s">
        <v>60</v>
      </c>
      <c r="G4">
        <v>1</v>
      </c>
      <c r="H4">
        <v>1</v>
      </c>
      <c r="I4">
        <v>12</v>
      </c>
      <c r="J4">
        <v>31</v>
      </c>
    </row>
    <row r="5" spans="1:25" x14ac:dyDescent="0.3">
      <c r="A5" s="16"/>
      <c r="B5" s="16"/>
      <c r="C5" s="15"/>
      <c r="D5" t="s">
        <v>67</v>
      </c>
      <c r="E5" s="1" t="s">
        <v>5</v>
      </c>
      <c r="F5" t="s">
        <v>61</v>
      </c>
      <c r="G5">
        <v>1</v>
      </c>
      <c r="H5">
        <v>1</v>
      </c>
      <c r="I5">
        <v>12</v>
      </c>
      <c r="J5">
        <v>31</v>
      </c>
    </row>
    <row r="6" spans="1:25" x14ac:dyDescent="0.3">
      <c r="A6" s="16"/>
      <c r="B6" s="16"/>
      <c r="C6" s="15"/>
      <c r="D6" t="s">
        <v>68</v>
      </c>
      <c r="E6" s="1" t="s">
        <v>5</v>
      </c>
      <c r="F6" t="s">
        <v>62</v>
      </c>
      <c r="G6">
        <v>1</v>
      </c>
      <c r="H6">
        <v>1</v>
      </c>
      <c r="I6">
        <v>12</v>
      </c>
      <c r="J6">
        <v>31</v>
      </c>
    </row>
    <row r="7" spans="1:25" x14ac:dyDescent="0.3">
      <c r="A7" s="16"/>
      <c r="B7" s="16"/>
      <c r="C7" s="15"/>
      <c r="D7" t="s">
        <v>388</v>
      </c>
      <c r="E7" s="1" t="s">
        <v>12</v>
      </c>
      <c r="F7" t="s">
        <v>376</v>
      </c>
      <c r="G7">
        <v>1</v>
      </c>
      <c r="H7">
        <v>1</v>
      </c>
      <c r="I7">
        <v>12</v>
      </c>
      <c r="J7">
        <v>31</v>
      </c>
    </row>
    <row r="8" spans="1:25" x14ac:dyDescent="0.3">
      <c r="A8" s="16"/>
      <c r="B8" s="16"/>
      <c r="C8" s="15"/>
      <c r="D8" t="s">
        <v>69</v>
      </c>
      <c r="E8" s="1" t="s">
        <v>70</v>
      </c>
      <c r="F8" t="s">
        <v>63</v>
      </c>
      <c r="G8">
        <v>1</v>
      </c>
      <c r="H8">
        <v>1</v>
      </c>
      <c r="I8">
        <v>12</v>
      </c>
      <c r="J8">
        <v>31</v>
      </c>
    </row>
    <row r="9" spans="1:25" x14ac:dyDescent="0.3">
      <c r="A9" s="16"/>
      <c r="B9" s="16"/>
      <c r="C9" s="15"/>
      <c r="D9" t="s">
        <v>206</v>
      </c>
      <c r="E9" s="1" t="s">
        <v>70</v>
      </c>
      <c r="F9" t="s">
        <v>143</v>
      </c>
      <c r="G9">
        <v>1</v>
      </c>
      <c r="H9">
        <v>1</v>
      </c>
      <c r="I9">
        <v>12</v>
      </c>
      <c r="J9">
        <v>31</v>
      </c>
    </row>
    <row r="10" spans="1:25" x14ac:dyDescent="0.3">
      <c r="A10" s="16"/>
      <c r="B10" s="16"/>
      <c r="C10" s="15" t="s">
        <v>707</v>
      </c>
      <c r="D10" s="2" t="s">
        <v>208</v>
      </c>
      <c r="E10" s="1" t="s">
        <v>1</v>
      </c>
      <c r="F10" t="s">
        <v>146</v>
      </c>
      <c r="G10">
        <v>1</v>
      </c>
      <c r="H10">
        <v>1</v>
      </c>
      <c r="I10">
        <v>3</v>
      </c>
      <c r="J10">
        <v>31</v>
      </c>
      <c r="K10" t="s">
        <v>145</v>
      </c>
      <c r="L10">
        <v>4</v>
      </c>
      <c r="M10">
        <v>1</v>
      </c>
      <c r="N10">
        <v>11</v>
      </c>
      <c r="O10">
        <v>30</v>
      </c>
      <c r="P10" t="s">
        <v>146</v>
      </c>
      <c r="Q10">
        <v>12</v>
      </c>
      <c r="R10">
        <v>1</v>
      </c>
      <c r="S10">
        <v>12</v>
      </c>
      <c r="T10">
        <v>31</v>
      </c>
    </row>
    <row r="11" spans="1:25" x14ac:dyDescent="0.3">
      <c r="A11" s="16"/>
      <c r="B11" s="16"/>
      <c r="C11" s="15"/>
      <c r="D11" s="2" t="s">
        <v>241</v>
      </c>
      <c r="E11" s="1" t="s">
        <v>1</v>
      </c>
      <c r="F11" t="s">
        <v>147</v>
      </c>
      <c r="G11">
        <v>1</v>
      </c>
      <c r="H11">
        <v>1</v>
      </c>
      <c r="I11">
        <v>5</v>
      </c>
      <c r="J11">
        <v>31</v>
      </c>
      <c r="K11" t="s">
        <v>148</v>
      </c>
      <c r="L11">
        <v>6</v>
      </c>
      <c r="M11">
        <v>1</v>
      </c>
      <c r="N11">
        <v>9</v>
      </c>
      <c r="O11">
        <v>30</v>
      </c>
      <c r="P11" t="s">
        <v>147</v>
      </c>
      <c r="Q11">
        <v>10</v>
      </c>
      <c r="R11">
        <v>1</v>
      </c>
      <c r="S11">
        <v>12</v>
      </c>
      <c r="T11">
        <v>31</v>
      </c>
    </row>
    <row r="12" spans="1:25" x14ac:dyDescent="0.3">
      <c r="A12" s="16"/>
      <c r="B12" s="16"/>
      <c r="C12" s="15"/>
      <c r="D12" s="2" t="s">
        <v>209</v>
      </c>
      <c r="E12" s="1" t="s">
        <v>5</v>
      </c>
      <c r="F12" t="s">
        <v>149</v>
      </c>
      <c r="G12">
        <v>1</v>
      </c>
      <c r="H12">
        <v>1</v>
      </c>
      <c r="I12">
        <v>12</v>
      </c>
      <c r="J12">
        <v>31</v>
      </c>
    </row>
    <row r="13" spans="1:25" x14ac:dyDescent="0.3">
      <c r="A13" s="16"/>
      <c r="B13" s="16"/>
      <c r="C13" s="15"/>
      <c r="D13" t="s">
        <v>210</v>
      </c>
      <c r="E13" s="1" t="s">
        <v>5</v>
      </c>
      <c r="F13" t="s">
        <v>150</v>
      </c>
      <c r="G13">
        <v>1</v>
      </c>
      <c r="H13">
        <v>1</v>
      </c>
      <c r="I13">
        <v>12</v>
      </c>
      <c r="J13">
        <v>31</v>
      </c>
    </row>
    <row r="14" spans="1:25" x14ac:dyDescent="0.3">
      <c r="A14" s="16"/>
      <c r="B14" s="16"/>
      <c r="C14" s="15"/>
      <c r="D14" t="s">
        <v>211</v>
      </c>
      <c r="E14" s="1" t="s">
        <v>5</v>
      </c>
      <c r="F14" t="s">
        <v>151</v>
      </c>
      <c r="G14">
        <v>1</v>
      </c>
      <c r="H14">
        <v>1</v>
      </c>
      <c r="I14">
        <v>12</v>
      </c>
      <c r="J14">
        <v>31</v>
      </c>
    </row>
    <row r="15" spans="1:25" x14ac:dyDescent="0.3">
      <c r="A15" s="16"/>
      <c r="B15" s="16"/>
      <c r="C15" s="15"/>
      <c r="D15" t="s">
        <v>391</v>
      </c>
      <c r="E15" s="1" t="s">
        <v>12</v>
      </c>
      <c r="F15" t="s">
        <v>378</v>
      </c>
      <c r="G15">
        <v>1</v>
      </c>
      <c r="H15">
        <v>1</v>
      </c>
      <c r="I15">
        <v>12</v>
      </c>
      <c r="J15">
        <v>31</v>
      </c>
    </row>
    <row r="16" spans="1:25" x14ac:dyDescent="0.3">
      <c r="A16" s="16"/>
      <c r="B16" s="16"/>
      <c r="C16" s="15"/>
      <c r="D16" t="s">
        <v>392</v>
      </c>
      <c r="E16" s="1" t="s">
        <v>70</v>
      </c>
      <c r="F16" t="s">
        <v>152</v>
      </c>
      <c r="G16">
        <v>1</v>
      </c>
      <c r="H16">
        <v>1</v>
      </c>
      <c r="I16">
        <v>12</v>
      </c>
      <c r="J16">
        <v>31</v>
      </c>
    </row>
    <row r="17" spans="1:20" x14ac:dyDescent="0.3">
      <c r="A17" s="16"/>
      <c r="B17" s="16"/>
      <c r="C17" s="15"/>
      <c r="D17" t="s">
        <v>389</v>
      </c>
      <c r="E17" s="1" t="s">
        <v>70</v>
      </c>
      <c r="F17" t="s">
        <v>153</v>
      </c>
      <c r="G17">
        <v>1</v>
      </c>
      <c r="H17">
        <v>1</v>
      </c>
      <c r="I17">
        <v>12</v>
      </c>
      <c r="J17">
        <v>31</v>
      </c>
    </row>
    <row r="18" spans="1:20" x14ac:dyDescent="0.3">
      <c r="A18" s="16"/>
      <c r="B18" s="16"/>
      <c r="C18" s="15" t="s">
        <v>205</v>
      </c>
      <c r="D18" s="2" t="s">
        <v>213</v>
      </c>
      <c r="E18" s="1" t="s">
        <v>1</v>
      </c>
      <c r="F18" t="s">
        <v>156</v>
      </c>
      <c r="G18">
        <v>1</v>
      </c>
      <c r="H18">
        <v>1</v>
      </c>
      <c r="I18">
        <v>3</v>
      </c>
      <c r="J18">
        <v>31</v>
      </c>
      <c r="K18" t="s">
        <v>155</v>
      </c>
      <c r="L18">
        <v>4</v>
      </c>
      <c r="M18">
        <v>1</v>
      </c>
      <c r="N18">
        <v>11</v>
      </c>
      <c r="O18">
        <v>30</v>
      </c>
      <c r="P18" t="s">
        <v>156</v>
      </c>
      <c r="Q18">
        <v>12</v>
      </c>
      <c r="R18">
        <v>1</v>
      </c>
      <c r="S18">
        <v>12</v>
      </c>
      <c r="T18">
        <v>31</v>
      </c>
    </row>
    <row r="19" spans="1:20" x14ac:dyDescent="0.3">
      <c r="A19" s="16"/>
      <c r="B19" s="16"/>
      <c r="C19" s="15"/>
      <c r="D19" s="2" t="s">
        <v>214</v>
      </c>
      <c r="E19" s="1" t="s">
        <v>1</v>
      </c>
      <c r="F19" t="s">
        <v>157</v>
      </c>
      <c r="G19">
        <v>1</v>
      </c>
      <c r="H19">
        <v>1</v>
      </c>
      <c r="I19">
        <v>5</v>
      </c>
      <c r="J19">
        <v>31</v>
      </c>
      <c r="K19" t="s">
        <v>158</v>
      </c>
      <c r="L19">
        <v>6</v>
      </c>
      <c r="M19">
        <v>1</v>
      </c>
      <c r="N19">
        <v>9</v>
      </c>
      <c r="O19">
        <v>30</v>
      </c>
      <c r="P19" t="s">
        <v>157</v>
      </c>
      <c r="Q19">
        <v>10</v>
      </c>
      <c r="R19">
        <v>1</v>
      </c>
      <c r="S19">
        <v>12</v>
      </c>
      <c r="T19">
        <v>31</v>
      </c>
    </row>
    <row r="20" spans="1:20" x14ac:dyDescent="0.3">
      <c r="A20" s="16"/>
      <c r="B20" s="16"/>
      <c r="C20" s="15"/>
      <c r="D20" s="2" t="s">
        <v>215</v>
      </c>
      <c r="E20" s="1" t="s">
        <v>5</v>
      </c>
      <c r="F20" t="s">
        <v>159</v>
      </c>
      <c r="G20">
        <v>1</v>
      </c>
      <c r="H20">
        <v>1</v>
      </c>
      <c r="I20">
        <v>12</v>
      </c>
      <c r="J20">
        <v>31</v>
      </c>
    </row>
    <row r="21" spans="1:20" x14ac:dyDescent="0.3">
      <c r="A21" s="16"/>
      <c r="B21" s="16"/>
      <c r="C21" s="15"/>
      <c r="D21" t="s">
        <v>216</v>
      </c>
      <c r="E21" s="1" t="s">
        <v>5</v>
      </c>
      <c r="F21" t="s">
        <v>160</v>
      </c>
      <c r="G21">
        <v>1</v>
      </c>
      <c r="H21">
        <v>1</v>
      </c>
      <c r="I21">
        <v>12</v>
      </c>
      <c r="J21">
        <v>31</v>
      </c>
    </row>
    <row r="22" spans="1:20" x14ac:dyDescent="0.3">
      <c r="A22" s="16"/>
      <c r="B22" s="16"/>
      <c r="C22" s="15"/>
      <c r="D22" t="s">
        <v>217</v>
      </c>
      <c r="E22" s="1" t="s">
        <v>5</v>
      </c>
      <c r="F22" t="s">
        <v>379</v>
      </c>
      <c r="G22">
        <v>1</v>
      </c>
      <c r="H22">
        <v>1</v>
      </c>
      <c r="I22">
        <v>12</v>
      </c>
      <c r="J22">
        <v>31</v>
      </c>
    </row>
    <row r="23" spans="1:20" x14ac:dyDescent="0.3">
      <c r="A23" s="16"/>
      <c r="B23" s="16"/>
      <c r="C23" s="15"/>
      <c r="D23" t="s">
        <v>393</v>
      </c>
      <c r="E23" s="1" t="s">
        <v>12</v>
      </c>
      <c r="F23" t="s">
        <v>380</v>
      </c>
      <c r="G23">
        <v>1</v>
      </c>
      <c r="H23">
        <v>1</v>
      </c>
      <c r="I23">
        <v>12</v>
      </c>
      <c r="J23">
        <v>31</v>
      </c>
    </row>
    <row r="24" spans="1:20" x14ac:dyDescent="0.3">
      <c r="A24" s="16"/>
      <c r="B24" s="16"/>
      <c r="C24" s="15"/>
      <c r="D24" t="s">
        <v>218</v>
      </c>
      <c r="E24" s="1" t="s">
        <v>70</v>
      </c>
      <c r="F24" t="s">
        <v>390</v>
      </c>
      <c r="G24">
        <v>1</v>
      </c>
      <c r="H24">
        <v>1</v>
      </c>
      <c r="I24">
        <v>12</v>
      </c>
      <c r="J24">
        <v>31</v>
      </c>
    </row>
    <row r="25" spans="1:20" x14ac:dyDescent="0.3">
      <c r="A25" s="16"/>
      <c r="B25" s="16"/>
      <c r="C25" s="15" t="s">
        <v>100</v>
      </c>
      <c r="D25" s="2" t="s">
        <v>219</v>
      </c>
      <c r="E25" s="1" t="s">
        <v>1</v>
      </c>
      <c r="F25" t="s">
        <v>164</v>
      </c>
      <c r="G25">
        <v>1</v>
      </c>
      <c r="H25">
        <v>1</v>
      </c>
      <c r="I25">
        <v>3</v>
      </c>
      <c r="J25">
        <v>31</v>
      </c>
      <c r="K25" t="s">
        <v>163</v>
      </c>
      <c r="L25">
        <v>4</v>
      </c>
      <c r="M25">
        <v>1</v>
      </c>
      <c r="N25">
        <v>11</v>
      </c>
      <c r="O25">
        <v>30</v>
      </c>
      <c r="P25" t="s">
        <v>164</v>
      </c>
      <c r="Q25">
        <v>12</v>
      </c>
      <c r="R25">
        <v>1</v>
      </c>
      <c r="S25">
        <v>12</v>
      </c>
      <c r="T25">
        <v>31</v>
      </c>
    </row>
    <row r="26" spans="1:20" x14ac:dyDescent="0.3">
      <c r="A26" s="16"/>
      <c r="B26" s="16"/>
      <c r="C26" s="15"/>
      <c r="D26" s="2" t="s">
        <v>220</v>
      </c>
      <c r="E26" s="1" t="s">
        <v>1</v>
      </c>
      <c r="F26" t="s">
        <v>165</v>
      </c>
      <c r="G26">
        <v>1</v>
      </c>
      <c r="H26">
        <v>1</v>
      </c>
      <c r="I26">
        <v>5</v>
      </c>
      <c r="J26">
        <v>31</v>
      </c>
      <c r="K26" t="s">
        <v>166</v>
      </c>
      <c r="L26">
        <v>6</v>
      </c>
      <c r="M26">
        <v>1</v>
      </c>
      <c r="N26">
        <v>9</v>
      </c>
      <c r="O26">
        <v>30</v>
      </c>
      <c r="P26" t="s">
        <v>165</v>
      </c>
      <c r="Q26">
        <v>10</v>
      </c>
      <c r="R26">
        <v>1</v>
      </c>
      <c r="S26">
        <v>12</v>
      </c>
      <c r="T26">
        <v>31</v>
      </c>
    </row>
    <row r="27" spans="1:20" x14ac:dyDescent="0.3">
      <c r="A27" s="16"/>
      <c r="B27" s="16"/>
      <c r="C27" s="15"/>
      <c r="D27" s="2" t="s">
        <v>221</v>
      </c>
      <c r="E27" s="1" t="s">
        <v>5</v>
      </c>
      <c r="F27" t="s">
        <v>167</v>
      </c>
      <c r="G27">
        <v>1</v>
      </c>
      <c r="H27">
        <v>1</v>
      </c>
      <c r="I27">
        <v>12</v>
      </c>
      <c r="J27">
        <v>31</v>
      </c>
    </row>
    <row r="28" spans="1:20" x14ac:dyDescent="0.3">
      <c r="A28" s="16"/>
      <c r="B28" s="16"/>
      <c r="C28" s="15"/>
      <c r="D28" t="s">
        <v>222</v>
      </c>
      <c r="E28" s="1" t="s">
        <v>5</v>
      </c>
      <c r="F28" t="s">
        <v>168</v>
      </c>
      <c r="G28">
        <v>1</v>
      </c>
      <c r="H28">
        <v>1</v>
      </c>
      <c r="I28">
        <v>12</v>
      </c>
      <c r="J28">
        <v>31</v>
      </c>
    </row>
    <row r="29" spans="1:20" x14ac:dyDescent="0.3">
      <c r="A29" s="16"/>
      <c r="B29" s="16"/>
      <c r="C29" s="15"/>
      <c r="D29" t="s">
        <v>223</v>
      </c>
      <c r="E29" s="1" t="s">
        <v>5</v>
      </c>
      <c r="F29" t="s">
        <v>381</v>
      </c>
      <c r="G29">
        <v>1</v>
      </c>
      <c r="H29">
        <v>1</v>
      </c>
      <c r="I29">
        <v>12</v>
      </c>
      <c r="J29">
        <v>31</v>
      </c>
    </row>
    <row r="30" spans="1:20" x14ac:dyDescent="0.3">
      <c r="A30" s="16"/>
      <c r="B30" s="16"/>
      <c r="C30" s="15"/>
      <c r="D30" t="s">
        <v>394</v>
      </c>
      <c r="E30" s="1" t="s">
        <v>12</v>
      </c>
      <c r="F30" t="s">
        <v>382</v>
      </c>
      <c r="G30">
        <v>1</v>
      </c>
      <c r="H30">
        <v>1</v>
      </c>
      <c r="I30">
        <v>12</v>
      </c>
      <c r="J30">
        <v>31</v>
      </c>
    </row>
    <row r="31" spans="1:20" x14ac:dyDescent="0.3">
      <c r="A31" s="16"/>
      <c r="B31" s="16"/>
      <c r="C31" s="15"/>
      <c r="D31" t="s">
        <v>224</v>
      </c>
      <c r="E31" s="1" t="s">
        <v>70</v>
      </c>
      <c r="F31" t="s">
        <v>169</v>
      </c>
      <c r="G31">
        <v>1</v>
      </c>
      <c r="H31">
        <v>1</v>
      </c>
      <c r="I31">
        <v>12</v>
      </c>
      <c r="J31">
        <v>31</v>
      </c>
    </row>
    <row r="32" spans="1:20" x14ac:dyDescent="0.3">
      <c r="A32" s="16"/>
      <c r="B32" s="16"/>
      <c r="C32" s="15"/>
      <c r="D32" t="s">
        <v>225</v>
      </c>
      <c r="E32" s="1" t="s">
        <v>70</v>
      </c>
      <c r="F32" t="s">
        <v>170</v>
      </c>
      <c r="G32">
        <v>1</v>
      </c>
      <c r="H32">
        <v>1</v>
      </c>
      <c r="I32">
        <v>12</v>
      </c>
      <c r="J32">
        <v>31</v>
      </c>
    </row>
    <row r="33" spans="1:20" x14ac:dyDescent="0.3">
      <c r="A33" s="16"/>
      <c r="B33" s="16"/>
      <c r="C33" s="15" t="s">
        <v>114</v>
      </c>
      <c r="D33" s="2" t="s">
        <v>226</v>
      </c>
      <c r="E33" s="1" t="s">
        <v>1</v>
      </c>
      <c r="F33" t="s">
        <v>173</v>
      </c>
      <c r="G33">
        <v>1</v>
      </c>
      <c r="H33">
        <v>1</v>
      </c>
      <c r="I33">
        <v>3</v>
      </c>
      <c r="J33">
        <v>31</v>
      </c>
      <c r="K33" t="s">
        <v>172</v>
      </c>
      <c r="L33">
        <v>4</v>
      </c>
      <c r="M33">
        <v>1</v>
      </c>
      <c r="N33">
        <v>11</v>
      </c>
      <c r="O33">
        <v>30</v>
      </c>
      <c r="P33" t="s">
        <v>173</v>
      </c>
      <c r="Q33">
        <v>12</v>
      </c>
      <c r="R33">
        <v>1</v>
      </c>
      <c r="S33">
        <v>12</v>
      </c>
      <c r="T33">
        <v>31</v>
      </c>
    </row>
    <row r="34" spans="1:20" x14ac:dyDescent="0.3">
      <c r="A34" s="16"/>
      <c r="B34" s="16"/>
      <c r="C34" s="15"/>
      <c r="D34" s="2" t="s">
        <v>227</v>
      </c>
      <c r="E34" s="1" t="s">
        <v>1</v>
      </c>
      <c r="F34" t="s">
        <v>174</v>
      </c>
      <c r="G34">
        <v>1</v>
      </c>
      <c r="H34">
        <v>1</v>
      </c>
      <c r="I34">
        <v>5</v>
      </c>
      <c r="J34">
        <v>31</v>
      </c>
      <c r="K34" t="s">
        <v>175</v>
      </c>
      <c r="L34">
        <v>6</v>
      </c>
      <c r="M34">
        <v>1</v>
      </c>
      <c r="N34">
        <v>9</v>
      </c>
      <c r="O34">
        <v>30</v>
      </c>
      <c r="P34" t="s">
        <v>174</v>
      </c>
      <c r="Q34">
        <v>10</v>
      </c>
      <c r="R34">
        <v>1</v>
      </c>
      <c r="S34">
        <v>12</v>
      </c>
      <c r="T34">
        <v>31</v>
      </c>
    </row>
    <row r="35" spans="1:20" x14ac:dyDescent="0.3">
      <c r="A35" s="16"/>
      <c r="B35" s="16"/>
      <c r="C35" s="15"/>
      <c r="D35" s="2" t="s">
        <v>228</v>
      </c>
      <c r="E35" s="1" t="s">
        <v>5</v>
      </c>
      <c r="F35" t="s">
        <v>176</v>
      </c>
      <c r="G35">
        <v>1</v>
      </c>
      <c r="H35">
        <v>1</v>
      </c>
      <c r="I35">
        <v>12</v>
      </c>
      <c r="J35">
        <v>31</v>
      </c>
    </row>
    <row r="36" spans="1:20" x14ac:dyDescent="0.3">
      <c r="A36" s="16"/>
      <c r="B36" s="16"/>
      <c r="C36" s="15"/>
      <c r="D36" t="s">
        <v>229</v>
      </c>
      <c r="E36" s="1" t="s">
        <v>5</v>
      </c>
      <c r="F36" t="s">
        <v>177</v>
      </c>
      <c r="G36">
        <v>1</v>
      </c>
      <c r="H36">
        <v>1</v>
      </c>
      <c r="I36">
        <v>12</v>
      </c>
      <c r="J36">
        <v>31</v>
      </c>
    </row>
    <row r="37" spans="1:20" x14ac:dyDescent="0.3">
      <c r="A37" s="16"/>
      <c r="B37" s="16"/>
      <c r="C37" s="15"/>
      <c r="D37" t="s">
        <v>230</v>
      </c>
      <c r="E37" s="1" t="s">
        <v>5</v>
      </c>
      <c r="F37" t="s">
        <v>383</v>
      </c>
      <c r="G37">
        <v>1</v>
      </c>
      <c r="H37">
        <v>1</v>
      </c>
      <c r="I37">
        <v>12</v>
      </c>
      <c r="J37">
        <v>31</v>
      </c>
    </row>
    <row r="38" spans="1:20" x14ac:dyDescent="0.3">
      <c r="A38" s="16"/>
      <c r="B38" s="16"/>
      <c r="C38" s="15"/>
      <c r="D38" t="s">
        <v>395</v>
      </c>
      <c r="E38" s="1" t="s">
        <v>12</v>
      </c>
      <c r="F38" t="s">
        <v>384</v>
      </c>
      <c r="G38">
        <v>1</v>
      </c>
      <c r="H38">
        <v>1</v>
      </c>
      <c r="I38">
        <v>12</v>
      </c>
      <c r="J38">
        <v>31</v>
      </c>
    </row>
    <row r="39" spans="1:20" x14ac:dyDescent="0.3">
      <c r="A39" s="16"/>
      <c r="B39" s="16"/>
      <c r="C39" s="15"/>
      <c r="D39" t="s">
        <v>231</v>
      </c>
      <c r="E39" s="1" t="s">
        <v>70</v>
      </c>
      <c r="F39" t="s">
        <v>178</v>
      </c>
      <c r="G39">
        <v>1</v>
      </c>
      <c r="H39">
        <v>1</v>
      </c>
      <c r="I39">
        <v>12</v>
      </c>
      <c r="J39">
        <v>31</v>
      </c>
    </row>
    <row r="40" spans="1:20" x14ac:dyDescent="0.3">
      <c r="A40" s="16"/>
      <c r="B40" s="16"/>
      <c r="C40" s="15"/>
      <c r="D40" t="s">
        <v>232</v>
      </c>
      <c r="E40" s="1" t="s">
        <v>70</v>
      </c>
      <c r="F40" t="s">
        <v>179</v>
      </c>
      <c r="G40">
        <v>1</v>
      </c>
      <c r="H40">
        <v>1</v>
      </c>
      <c r="I40">
        <v>12</v>
      </c>
      <c r="J40">
        <v>31</v>
      </c>
    </row>
    <row r="41" spans="1:20" x14ac:dyDescent="0.3">
      <c r="A41" s="16"/>
      <c r="B41" s="16"/>
      <c r="C41" s="15" t="s">
        <v>128</v>
      </c>
      <c r="D41" s="2" t="s">
        <v>234</v>
      </c>
      <c r="E41" s="1" t="s">
        <v>1</v>
      </c>
      <c r="F41" t="s">
        <v>195</v>
      </c>
      <c r="G41">
        <v>1</v>
      </c>
      <c r="H41">
        <v>1</v>
      </c>
      <c r="I41">
        <v>3</v>
      </c>
      <c r="J41">
        <v>31</v>
      </c>
      <c r="K41" t="s">
        <v>194</v>
      </c>
      <c r="L41">
        <v>4</v>
      </c>
      <c r="M41">
        <v>1</v>
      </c>
      <c r="N41">
        <v>11</v>
      </c>
      <c r="O41">
        <v>30</v>
      </c>
      <c r="P41" t="s">
        <v>195</v>
      </c>
      <c r="Q41">
        <v>12</v>
      </c>
      <c r="R41">
        <v>1</v>
      </c>
      <c r="S41">
        <v>12</v>
      </c>
      <c r="T41">
        <v>31</v>
      </c>
    </row>
    <row r="42" spans="1:20" x14ac:dyDescent="0.3">
      <c r="A42" s="16"/>
      <c r="B42" s="16"/>
      <c r="C42" s="15"/>
      <c r="D42" s="2" t="s">
        <v>235</v>
      </c>
      <c r="E42" s="1" t="s">
        <v>1</v>
      </c>
      <c r="F42" t="s">
        <v>196</v>
      </c>
      <c r="G42">
        <v>1</v>
      </c>
      <c r="H42">
        <v>1</v>
      </c>
      <c r="I42">
        <v>5</v>
      </c>
      <c r="J42">
        <v>31</v>
      </c>
      <c r="K42" t="s">
        <v>197</v>
      </c>
      <c r="L42">
        <v>6</v>
      </c>
      <c r="M42">
        <v>1</v>
      </c>
      <c r="N42">
        <v>9</v>
      </c>
      <c r="O42">
        <v>30</v>
      </c>
      <c r="P42" t="s">
        <v>196</v>
      </c>
      <c r="Q42">
        <v>10</v>
      </c>
      <c r="R42">
        <v>1</v>
      </c>
      <c r="S42">
        <v>12</v>
      </c>
      <c r="T42">
        <v>31</v>
      </c>
    </row>
    <row r="43" spans="1:20" x14ac:dyDescent="0.3">
      <c r="A43" s="16"/>
      <c r="B43" s="16"/>
      <c r="C43" s="15"/>
      <c r="D43" s="2" t="s">
        <v>236</v>
      </c>
      <c r="E43" s="1" t="s">
        <v>5</v>
      </c>
      <c r="F43" t="s">
        <v>198</v>
      </c>
      <c r="G43">
        <v>1</v>
      </c>
      <c r="H43">
        <v>1</v>
      </c>
      <c r="I43">
        <v>12</v>
      </c>
      <c r="J43">
        <v>31</v>
      </c>
    </row>
    <row r="44" spans="1:20" x14ac:dyDescent="0.3">
      <c r="A44" s="16"/>
      <c r="B44" s="16"/>
      <c r="C44" s="15"/>
      <c r="D44" t="s">
        <v>237</v>
      </c>
      <c r="E44" s="1" t="s">
        <v>5</v>
      </c>
      <c r="F44" t="s">
        <v>199</v>
      </c>
      <c r="G44">
        <v>1</v>
      </c>
      <c r="H44">
        <v>1</v>
      </c>
      <c r="I44">
        <v>12</v>
      </c>
      <c r="J44">
        <v>31</v>
      </c>
    </row>
    <row r="45" spans="1:20" x14ac:dyDescent="0.3">
      <c r="A45" s="16"/>
      <c r="B45" s="16"/>
      <c r="C45" s="15"/>
      <c r="D45" t="s">
        <v>238</v>
      </c>
      <c r="E45" s="1" t="s">
        <v>5</v>
      </c>
      <c r="F45" t="s">
        <v>386</v>
      </c>
      <c r="G45">
        <v>1</v>
      </c>
      <c r="H45">
        <v>1</v>
      </c>
      <c r="I45">
        <v>12</v>
      </c>
      <c r="J45">
        <v>31</v>
      </c>
    </row>
    <row r="46" spans="1:20" x14ac:dyDescent="0.3">
      <c r="A46" s="16"/>
      <c r="B46" s="16"/>
      <c r="C46" s="15"/>
      <c r="D46" t="s">
        <v>396</v>
      </c>
      <c r="E46" s="1" t="s">
        <v>12</v>
      </c>
      <c r="F46" t="s">
        <v>387</v>
      </c>
      <c r="G46">
        <v>1</v>
      </c>
      <c r="H46">
        <v>1</v>
      </c>
      <c r="I46">
        <v>12</v>
      </c>
      <c r="J46">
        <v>31</v>
      </c>
    </row>
    <row r="47" spans="1:20" x14ac:dyDescent="0.3">
      <c r="A47" s="16"/>
      <c r="B47" s="16"/>
      <c r="C47" s="15"/>
      <c r="D47" t="s">
        <v>239</v>
      </c>
      <c r="E47" s="1" t="s">
        <v>70</v>
      </c>
      <c r="F47" t="s">
        <v>201</v>
      </c>
      <c r="G47">
        <v>1</v>
      </c>
      <c r="H47">
        <v>1</v>
      </c>
      <c r="I47">
        <v>12</v>
      </c>
      <c r="J47">
        <v>31</v>
      </c>
    </row>
    <row r="48" spans="1:20" x14ac:dyDescent="0.3">
      <c r="A48" s="16"/>
      <c r="B48" s="16"/>
      <c r="C48" s="15"/>
      <c r="D48" t="s">
        <v>240</v>
      </c>
      <c r="E48" s="1" t="s">
        <v>70</v>
      </c>
      <c r="F48" t="s">
        <v>202</v>
      </c>
      <c r="G48">
        <v>1</v>
      </c>
      <c r="H48">
        <v>1</v>
      </c>
      <c r="I48">
        <v>12</v>
      </c>
      <c r="J48">
        <v>31</v>
      </c>
    </row>
    <row r="49" spans="1:20" x14ac:dyDescent="0.3">
      <c r="A49" s="16"/>
      <c r="B49" s="16"/>
      <c r="C49" s="15" t="s">
        <v>915</v>
      </c>
      <c r="D49" s="2" t="s">
        <v>947</v>
      </c>
      <c r="E49" s="1" t="s">
        <v>1</v>
      </c>
      <c r="F49" t="s">
        <v>1016</v>
      </c>
      <c r="G49">
        <v>1</v>
      </c>
      <c r="H49">
        <v>1</v>
      </c>
      <c r="I49">
        <v>3</v>
      </c>
      <c r="J49">
        <v>31</v>
      </c>
      <c r="K49" t="s">
        <v>1017</v>
      </c>
      <c r="L49">
        <v>4</v>
      </c>
      <c r="M49">
        <v>1</v>
      </c>
      <c r="N49">
        <v>11</v>
      </c>
      <c r="O49">
        <v>30</v>
      </c>
      <c r="P49" t="s">
        <v>1016</v>
      </c>
      <c r="Q49">
        <v>12</v>
      </c>
      <c r="R49">
        <v>1</v>
      </c>
      <c r="S49">
        <v>12</v>
      </c>
      <c r="T49">
        <v>31</v>
      </c>
    </row>
    <row r="50" spans="1:20" x14ac:dyDescent="0.3">
      <c r="A50" s="16"/>
      <c r="B50" s="16"/>
      <c r="C50" s="15"/>
      <c r="D50" s="2" t="s">
        <v>949</v>
      </c>
      <c r="E50" s="1" t="s">
        <v>1</v>
      </c>
      <c r="F50" t="s">
        <v>1015</v>
      </c>
      <c r="G50">
        <v>1</v>
      </c>
      <c r="H50">
        <v>1</v>
      </c>
      <c r="I50">
        <v>5</v>
      </c>
      <c r="J50">
        <v>31</v>
      </c>
      <c r="K50" t="s">
        <v>1014</v>
      </c>
      <c r="L50">
        <v>6</v>
      </c>
      <c r="M50">
        <v>1</v>
      </c>
      <c r="N50">
        <v>9</v>
      </c>
      <c r="O50">
        <v>30</v>
      </c>
      <c r="P50" t="s">
        <v>1015</v>
      </c>
      <c r="Q50">
        <v>10</v>
      </c>
      <c r="R50">
        <v>1</v>
      </c>
      <c r="S50">
        <v>12</v>
      </c>
      <c r="T50">
        <v>31</v>
      </c>
    </row>
    <row r="51" spans="1:20" x14ac:dyDescent="0.3">
      <c r="A51" s="16"/>
      <c r="B51" s="16"/>
      <c r="C51" s="15"/>
      <c r="D51" s="2" t="s">
        <v>932</v>
      </c>
      <c r="E51" s="1" t="s">
        <v>5</v>
      </c>
      <c r="F51" t="s">
        <v>1013</v>
      </c>
      <c r="G51">
        <v>1</v>
      </c>
      <c r="H51">
        <v>1</v>
      </c>
      <c r="I51">
        <v>12</v>
      </c>
      <c r="J51">
        <v>31</v>
      </c>
    </row>
    <row r="52" spans="1:20" x14ac:dyDescent="0.3">
      <c r="A52" s="16"/>
      <c r="B52" s="16"/>
      <c r="C52" s="15"/>
      <c r="D52" t="s">
        <v>939</v>
      </c>
      <c r="E52" s="1" t="s">
        <v>5</v>
      </c>
      <c r="F52" t="s">
        <v>1012</v>
      </c>
      <c r="G52">
        <v>1</v>
      </c>
      <c r="H52">
        <v>1</v>
      </c>
      <c r="I52">
        <v>12</v>
      </c>
      <c r="J52">
        <v>31</v>
      </c>
    </row>
    <row r="53" spans="1:20" x14ac:dyDescent="0.3">
      <c r="A53" s="16"/>
      <c r="B53" s="16"/>
      <c r="C53" s="15"/>
      <c r="D53" t="s">
        <v>924</v>
      </c>
      <c r="E53" s="1" t="s">
        <v>5</v>
      </c>
      <c r="F53" t="s">
        <v>1011</v>
      </c>
      <c r="G53">
        <v>1</v>
      </c>
      <c r="H53">
        <v>1</v>
      </c>
      <c r="I53">
        <v>12</v>
      </c>
      <c r="J53">
        <v>31</v>
      </c>
    </row>
    <row r="54" spans="1:20" x14ac:dyDescent="0.3">
      <c r="A54" s="16"/>
      <c r="B54" s="16"/>
      <c r="C54" s="15"/>
      <c r="D54" t="s">
        <v>926</v>
      </c>
      <c r="E54" s="1" t="s">
        <v>12</v>
      </c>
      <c r="F54" t="s">
        <v>1010</v>
      </c>
      <c r="G54">
        <v>1</v>
      </c>
      <c r="H54">
        <v>1</v>
      </c>
      <c r="I54">
        <v>12</v>
      </c>
      <c r="J54">
        <v>31</v>
      </c>
    </row>
    <row r="55" spans="1:20" x14ac:dyDescent="0.3">
      <c r="A55" s="16"/>
      <c r="B55" s="16"/>
      <c r="C55" s="15"/>
      <c r="D55" t="s">
        <v>963</v>
      </c>
      <c r="E55" s="1" t="s">
        <v>70</v>
      </c>
      <c r="F55" t="s">
        <v>1009</v>
      </c>
      <c r="G55">
        <v>1</v>
      </c>
      <c r="H55">
        <v>1</v>
      </c>
      <c r="I55">
        <v>12</v>
      </c>
      <c r="J55">
        <v>31</v>
      </c>
    </row>
    <row r="56" spans="1:20" x14ac:dyDescent="0.3">
      <c r="A56" s="16"/>
      <c r="B56" s="16"/>
      <c r="C56" s="15"/>
      <c r="D56" t="s">
        <v>1028</v>
      </c>
      <c r="E56" s="1" t="s">
        <v>70</v>
      </c>
      <c r="F56" t="s">
        <v>1008</v>
      </c>
      <c r="G56">
        <v>1</v>
      </c>
      <c r="H56">
        <v>1</v>
      </c>
      <c r="I56">
        <v>12</v>
      </c>
      <c r="J56">
        <v>31</v>
      </c>
    </row>
    <row r="57" spans="1:20" x14ac:dyDescent="0.3">
      <c r="A57" s="16"/>
      <c r="B57" s="16"/>
      <c r="C57" s="15" t="s">
        <v>916</v>
      </c>
      <c r="D57" s="2" t="s">
        <v>951</v>
      </c>
      <c r="E57" s="1" t="s">
        <v>1</v>
      </c>
      <c r="F57" t="s">
        <v>1026</v>
      </c>
      <c r="G57">
        <v>1</v>
      </c>
      <c r="H57">
        <v>1</v>
      </c>
      <c r="I57">
        <v>3</v>
      </c>
      <c r="J57">
        <v>31</v>
      </c>
      <c r="K57" t="s">
        <v>1027</v>
      </c>
      <c r="L57">
        <v>4</v>
      </c>
      <c r="M57">
        <v>1</v>
      </c>
      <c r="N57">
        <v>11</v>
      </c>
      <c r="O57">
        <v>30</v>
      </c>
      <c r="P57" t="s">
        <v>1026</v>
      </c>
      <c r="Q57">
        <v>12</v>
      </c>
      <c r="R57">
        <v>1</v>
      </c>
      <c r="S57">
        <v>12</v>
      </c>
      <c r="T57">
        <v>31</v>
      </c>
    </row>
    <row r="58" spans="1:20" x14ac:dyDescent="0.3">
      <c r="A58" s="16"/>
      <c r="B58" s="16"/>
      <c r="C58" s="15"/>
      <c r="D58" s="2" t="s">
        <v>953</v>
      </c>
      <c r="E58" s="1" t="s">
        <v>1</v>
      </c>
      <c r="F58" t="s">
        <v>1025</v>
      </c>
      <c r="G58">
        <v>1</v>
      </c>
      <c r="H58">
        <v>1</v>
      </c>
      <c r="I58">
        <v>5</v>
      </c>
      <c r="J58">
        <v>31</v>
      </c>
      <c r="K58" t="s">
        <v>1024</v>
      </c>
      <c r="L58">
        <v>6</v>
      </c>
      <c r="M58">
        <v>1</v>
      </c>
      <c r="N58">
        <v>9</v>
      </c>
      <c r="O58">
        <v>30</v>
      </c>
      <c r="P58" t="s">
        <v>1025</v>
      </c>
      <c r="Q58">
        <v>10</v>
      </c>
      <c r="R58">
        <v>1</v>
      </c>
      <c r="S58">
        <v>12</v>
      </c>
      <c r="T58">
        <v>31</v>
      </c>
    </row>
    <row r="59" spans="1:20" x14ac:dyDescent="0.3">
      <c r="A59" s="16"/>
      <c r="B59" s="16"/>
      <c r="C59" s="15"/>
      <c r="D59" s="2" t="s">
        <v>934</v>
      </c>
      <c r="E59" s="1" t="s">
        <v>5</v>
      </c>
      <c r="F59" t="s">
        <v>1023</v>
      </c>
      <c r="G59">
        <v>1</v>
      </c>
      <c r="H59">
        <v>1</v>
      </c>
      <c r="I59">
        <v>12</v>
      </c>
      <c r="J59">
        <v>31</v>
      </c>
    </row>
    <row r="60" spans="1:20" x14ac:dyDescent="0.3">
      <c r="A60" s="16"/>
      <c r="B60" s="16"/>
      <c r="C60" s="15"/>
      <c r="D60" t="s">
        <v>942</v>
      </c>
      <c r="E60" s="1" t="s">
        <v>5</v>
      </c>
      <c r="F60" t="s">
        <v>1022</v>
      </c>
      <c r="G60">
        <v>1</v>
      </c>
      <c r="H60">
        <v>1</v>
      </c>
      <c r="I60">
        <v>12</v>
      </c>
      <c r="J60">
        <v>31</v>
      </c>
    </row>
    <row r="61" spans="1:20" x14ac:dyDescent="0.3">
      <c r="A61" s="16"/>
      <c r="B61" s="16"/>
      <c r="C61" s="15"/>
      <c r="D61" t="s">
        <v>922</v>
      </c>
      <c r="E61" s="1" t="s">
        <v>5</v>
      </c>
      <c r="F61" t="s">
        <v>1021</v>
      </c>
      <c r="G61">
        <v>1</v>
      </c>
      <c r="H61">
        <v>1</v>
      </c>
      <c r="I61">
        <v>12</v>
      </c>
      <c r="J61">
        <v>31</v>
      </c>
    </row>
    <row r="62" spans="1:20" x14ac:dyDescent="0.3">
      <c r="A62" s="16"/>
      <c r="B62" s="16"/>
      <c r="C62" s="15"/>
      <c r="D62" t="s">
        <v>928</v>
      </c>
      <c r="E62" s="1" t="s">
        <v>12</v>
      </c>
      <c r="F62" t="s">
        <v>1020</v>
      </c>
      <c r="G62">
        <v>1</v>
      </c>
      <c r="H62">
        <v>1</v>
      </c>
      <c r="I62">
        <v>12</v>
      </c>
      <c r="J62">
        <v>31</v>
      </c>
    </row>
    <row r="63" spans="1:20" x14ac:dyDescent="0.3">
      <c r="A63" s="16"/>
      <c r="B63" s="16"/>
      <c r="C63" s="15"/>
      <c r="D63" t="s">
        <v>965</v>
      </c>
      <c r="E63" s="1" t="s">
        <v>70</v>
      </c>
      <c r="F63" t="s">
        <v>1019</v>
      </c>
      <c r="G63">
        <v>1</v>
      </c>
      <c r="H63">
        <v>1</v>
      </c>
      <c r="I63">
        <v>12</v>
      </c>
      <c r="J63">
        <v>31</v>
      </c>
    </row>
    <row r="64" spans="1:20" x14ac:dyDescent="0.3">
      <c r="C64" s="15"/>
      <c r="D64" t="s">
        <v>1029</v>
      </c>
      <c r="E64" s="1" t="s">
        <v>70</v>
      </c>
      <c r="F64" t="s">
        <v>1018</v>
      </c>
      <c r="G64">
        <v>1</v>
      </c>
      <c r="H64">
        <v>1</v>
      </c>
      <c r="I64">
        <v>12</v>
      </c>
      <c r="J64">
        <v>31</v>
      </c>
    </row>
  </sheetData>
  <mergeCells count="10">
    <mergeCell ref="C49:C56"/>
    <mergeCell ref="C57:C64"/>
    <mergeCell ref="B1:B63"/>
    <mergeCell ref="A1:A63"/>
    <mergeCell ref="C18:C24"/>
    <mergeCell ref="C25:C32"/>
    <mergeCell ref="C33:C40"/>
    <mergeCell ref="C41:C48"/>
    <mergeCell ref="C2:C9"/>
    <mergeCell ref="C10:C17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58ED4-9C2C-4B2A-9D13-120D87DEDA39}">
  <dimension ref="A1:H50"/>
  <sheetViews>
    <sheetView topLeftCell="A31" zoomScaleNormal="100" workbookViewId="0">
      <selection activeCell="D1" sqref="D1"/>
    </sheetView>
  </sheetViews>
  <sheetFormatPr defaultRowHeight="14" x14ac:dyDescent="0.3"/>
  <cols>
    <col min="2" max="2" width="23.33203125" customWidth="1"/>
    <col min="3" max="3" width="32" customWidth="1"/>
    <col min="4" max="4" width="13.33203125" customWidth="1"/>
    <col min="5" max="5" width="17" customWidth="1"/>
    <col min="6" max="8" width="23.08203125" customWidth="1"/>
  </cols>
  <sheetData>
    <row r="1" spans="1:8" x14ac:dyDescent="0.3">
      <c r="A1" s="16" t="s">
        <v>317</v>
      </c>
      <c r="B1" s="16" t="s">
        <v>349</v>
      </c>
      <c r="C1" t="s">
        <v>42</v>
      </c>
      <c r="D1" t="s">
        <v>332</v>
      </c>
      <c r="E1" t="s">
        <v>906</v>
      </c>
      <c r="F1" t="s">
        <v>350</v>
      </c>
      <c r="G1" t="s">
        <v>351</v>
      </c>
      <c r="H1" t="s">
        <v>352</v>
      </c>
    </row>
    <row r="2" spans="1:8" x14ac:dyDescent="0.3">
      <c r="A2" s="16"/>
      <c r="B2" s="16"/>
      <c r="C2" t="s">
        <v>333</v>
      </c>
      <c r="D2" t="s">
        <v>334</v>
      </c>
      <c r="E2">
        <f>1/1.5</f>
        <v>0.66666666666666663</v>
      </c>
      <c r="F2">
        <v>0.9</v>
      </c>
      <c r="G2">
        <v>0.7</v>
      </c>
      <c r="H2">
        <v>0.7</v>
      </c>
    </row>
    <row r="3" spans="1:8" x14ac:dyDescent="0.3">
      <c r="A3" s="16"/>
      <c r="B3" s="16"/>
      <c r="C3" t="s">
        <v>335</v>
      </c>
      <c r="D3" t="s">
        <v>334</v>
      </c>
      <c r="E3">
        <v>0.5</v>
      </c>
      <c r="F3">
        <v>0.9</v>
      </c>
      <c r="G3">
        <v>0.7</v>
      </c>
      <c r="H3">
        <v>0.7</v>
      </c>
    </row>
    <row r="4" spans="1:8" x14ac:dyDescent="0.3">
      <c r="A4" s="16"/>
      <c r="B4" s="16"/>
      <c r="C4" t="s">
        <v>336</v>
      </c>
      <c r="D4" t="s">
        <v>334</v>
      </c>
      <c r="E4">
        <v>1</v>
      </c>
      <c r="F4">
        <v>0.9</v>
      </c>
      <c r="G4">
        <v>0.7</v>
      </c>
      <c r="H4">
        <v>0.7</v>
      </c>
    </row>
    <row r="5" spans="1:8" x14ac:dyDescent="0.3">
      <c r="A5" s="16"/>
      <c r="B5" s="16"/>
      <c r="C5" t="s">
        <v>796</v>
      </c>
      <c r="D5" t="s">
        <v>334</v>
      </c>
      <c r="E5">
        <v>0.5</v>
      </c>
      <c r="F5">
        <v>0.9</v>
      </c>
      <c r="G5">
        <v>0.7</v>
      </c>
      <c r="H5">
        <v>0.7</v>
      </c>
    </row>
    <row r="6" spans="1:8" x14ac:dyDescent="0.3">
      <c r="A6" s="16"/>
      <c r="B6" s="16"/>
      <c r="C6" t="s">
        <v>337</v>
      </c>
      <c r="D6" t="s">
        <v>334</v>
      </c>
      <c r="E6">
        <v>0.5</v>
      </c>
      <c r="F6">
        <v>0.9</v>
      </c>
      <c r="G6">
        <v>0.7</v>
      </c>
      <c r="H6">
        <v>0.7</v>
      </c>
    </row>
    <row r="7" spans="1:8" x14ac:dyDescent="0.3">
      <c r="A7" s="16"/>
      <c r="B7" s="16"/>
      <c r="C7" t="s">
        <v>399</v>
      </c>
      <c r="D7" t="s">
        <v>334</v>
      </c>
      <c r="E7">
        <v>0.5</v>
      </c>
      <c r="F7">
        <v>0.9</v>
      </c>
      <c r="G7">
        <v>0.7</v>
      </c>
      <c r="H7">
        <v>0.7</v>
      </c>
    </row>
    <row r="8" spans="1:8" x14ac:dyDescent="0.3">
      <c r="A8" s="16"/>
      <c r="B8" s="16"/>
      <c r="C8" t="s">
        <v>725</v>
      </c>
      <c r="D8" t="s">
        <v>334</v>
      </c>
      <c r="E8">
        <v>1</v>
      </c>
      <c r="F8">
        <v>0.9</v>
      </c>
      <c r="G8">
        <v>0.7</v>
      </c>
      <c r="H8">
        <v>0.7</v>
      </c>
    </row>
    <row r="9" spans="1:8" x14ac:dyDescent="0.3">
      <c r="A9" s="16"/>
      <c r="B9" s="16"/>
      <c r="C9" t="s">
        <v>704</v>
      </c>
      <c r="D9" t="s">
        <v>334</v>
      </c>
      <c r="E9">
        <v>1</v>
      </c>
      <c r="F9">
        <v>0.9</v>
      </c>
      <c r="G9">
        <v>0.7</v>
      </c>
      <c r="H9">
        <v>0.7</v>
      </c>
    </row>
    <row r="10" spans="1:8" x14ac:dyDescent="0.3">
      <c r="A10" s="16"/>
      <c r="B10" s="16"/>
      <c r="C10" t="s">
        <v>724</v>
      </c>
      <c r="D10" t="s">
        <v>334</v>
      </c>
      <c r="E10">
        <f>1/0.7</f>
        <v>1.4285714285714286</v>
      </c>
      <c r="F10">
        <v>0.9</v>
      </c>
      <c r="G10">
        <v>0.7</v>
      </c>
      <c r="H10">
        <v>0.7</v>
      </c>
    </row>
    <row r="11" spans="1:8" x14ac:dyDescent="0.3">
      <c r="A11" s="16"/>
      <c r="B11" s="16"/>
      <c r="C11" t="s">
        <v>798</v>
      </c>
      <c r="D11" t="s">
        <v>334</v>
      </c>
      <c r="E11">
        <v>1</v>
      </c>
      <c r="F11">
        <v>0.9</v>
      </c>
      <c r="G11">
        <v>0.7</v>
      </c>
      <c r="H11">
        <v>0.7</v>
      </c>
    </row>
    <row r="12" spans="1:8" x14ac:dyDescent="0.3">
      <c r="A12" s="16"/>
      <c r="B12" s="16"/>
      <c r="C12" t="s">
        <v>705</v>
      </c>
      <c r="D12" t="s">
        <v>334</v>
      </c>
      <c r="E12">
        <v>1</v>
      </c>
      <c r="F12">
        <v>0.9</v>
      </c>
      <c r="G12">
        <v>0.7</v>
      </c>
      <c r="H12">
        <v>0.7</v>
      </c>
    </row>
    <row r="13" spans="1:8" x14ac:dyDescent="0.3">
      <c r="A13" s="16"/>
      <c r="B13" s="16"/>
      <c r="C13" t="s">
        <v>706</v>
      </c>
      <c r="D13" t="s">
        <v>334</v>
      </c>
      <c r="E13">
        <f>1/1.2</f>
        <v>0.83333333333333337</v>
      </c>
      <c r="F13">
        <v>0.9</v>
      </c>
      <c r="G13">
        <v>0.7</v>
      </c>
      <c r="H13">
        <v>0.7</v>
      </c>
    </row>
    <row r="14" spans="1:8" x14ac:dyDescent="0.3">
      <c r="A14" s="16"/>
      <c r="B14" s="16"/>
      <c r="C14" t="s">
        <v>730</v>
      </c>
      <c r="D14" t="s">
        <v>334</v>
      </c>
      <c r="E14">
        <v>1</v>
      </c>
      <c r="F14">
        <v>0.9</v>
      </c>
      <c r="G14">
        <v>0.7</v>
      </c>
      <c r="H14">
        <v>0.7</v>
      </c>
    </row>
    <row r="15" spans="1:8" x14ac:dyDescent="0.3">
      <c r="A15" s="16"/>
      <c r="B15" s="16"/>
      <c r="C15" t="s">
        <v>708</v>
      </c>
      <c r="D15" t="s">
        <v>334</v>
      </c>
      <c r="E15">
        <v>1</v>
      </c>
      <c r="F15">
        <v>0.9</v>
      </c>
      <c r="G15">
        <v>0.7</v>
      </c>
      <c r="H15">
        <v>0.7</v>
      </c>
    </row>
    <row r="16" spans="1:8" x14ac:dyDescent="0.3">
      <c r="A16" s="16"/>
      <c r="B16" s="16"/>
      <c r="C16" t="s">
        <v>723</v>
      </c>
      <c r="D16" t="s">
        <v>334</v>
      </c>
      <c r="E16">
        <f>1/0.7</f>
        <v>1.4285714285714286</v>
      </c>
      <c r="F16">
        <v>0.9</v>
      </c>
      <c r="G16">
        <v>0.7</v>
      </c>
      <c r="H16">
        <v>0.7</v>
      </c>
    </row>
    <row r="17" spans="1:8" x14ac:dyDescent="0.3">
      <c r="A17" s="16"/>
      <c r="B17" s="16"/>
      <c r="C17" t="s">
        <v>799</v>
      </c>
      <c r="D17" t="s">
        <v>334</v>
      </c>
      <c r="E17">
        <v>1</v>
      </c>
      <c r="F17">
        <v>0.9</v>
      </c>
      <c r="G17">
        <v>0.7</v>
      </c>
      <c r="H17">
        <v>0.7</v>
      </c>
    </row>
    <row r="18" spans="1:8" x14ac:dyDescent="0.3">
      <c r="A18" s="16"/>
      <c r="B18" s="16"/>
      <c r="C18" t="s">
        <v>709</v>
      </c>
      <c r="D18" t="s">
        <v>334</v>
      </c>
      <c r="E18">
        <v>1</v>
      </c>
      <c r="F18">
        <v>0.9</v>
      </c>
      <c r="G18">
        <v>0.7</v>
      </c>
      <c r="H18">
        <v>0.7</v>
      </c>
    </row>
    <row r="19" spans="1:8" x14ac:dyDescent="0.3">
      <c r="A19" s="16"/>
      <c r="B19" s="16"/>
      <c r="C19" t="s">
        <v>710</v>
      </c>
      <c r="D19" t="s">
        <v>334</v>
      </c>
      <c r="E19">
        <f>1/1.2</f>
        <v>0.83333333333333337</v>
      </c>
      <c r="F19">
        <v>0.9</v>
      </c>
      <c r="G19">
        <v>0.7</v>
      </c>
      <c r="H19">
        <v>0.7</v>
      </c>
    </row>
    <row r="20" spans="1:8" x14ac:dyDescent="0.3">
      <c r="A20" s="16"/>
      <c r="B20" s="16"/>
      <c r="C20" t="s">
        <v>735</v>
      </c>
      <c r="D20" t="s">
        <v>334</v>
      </c>
      <c r="E20">
        <v>1</v>
      </c>
      <c r="F20">
        <v>0.9</v>
      </c>
      <c r="G20">
        <v>0.7</v>
      </c>
      <c r="H20">
        <v>0.7</v>
      </c>
    </row>
    <row r="21" spans="1:8" x14ac:dyDescent="0.3">
      <c r="A21" s="16"/>
      <c r="B21" s="16"/>
      <c r="C21" t="s">
        <v>711</v>
      </c>
      <c r="D21" t="s">
        <v>334</v>
      </c>
      <c r="E21">
        <v>1</v>
      </c>
      <c r="F21">
        <v>0.9</v>
      </c>
      <c r="G21">
        <v>0.7</v>
      </c>
      <c r="H21">
        <v>0.7</v>
      </c>
    </row>
    <row r="22" spans="1:8" x14ac:dyDescent="0.3">
      <c r="A22" s="16"/>
      <c r="B22" s="16"/>
      <c r="C22" t="s">
        <v>722</v>
      </c>
      <c r="D22" t="s">
        <v>334</v>
      </c>
      <c r="E22">
        <f>1/0.7</f>
        <v>1.4285714285714286</v>
      </c>
      <c r="F22">
        <v>0.9</v>
      </c>
      <c r="G22">
        <v>0.7</v>
      </c>
      <c r="H22">
        <v>0.7</v>
      </c>
    </row>
    <row r="23" spans="1:8" x14ac:dyDescent="0.3">
      <c r="A23" s="16"/>
      <c r="B23" s="16"/>
      <c r="C23" t="s">
        <v>801</v>
      </c>
      <c r="D23" t="s">
        <v>334</v>
      </c>
      <c r="E23">
        <v>1</v>
      </c>
      <c r="F23">
        <v>0.9</v>
      </c>
      <c r="G23">
        <v>0.7</v>
      </c>
      <c r="H23">
        <v>0.7</v>
      </c>
    </row>
    <row r="24" spans="1:8" x14ac:dyDescent="0.3">
      <c r="A24" s="16"/>
      <c r="B24" s="16"/>
      <c r="C24" t="s">
        <v>712</v>
      </c>
      <c r="D24" t="s">
        <v>334</v>
      </c>
      <c r="E24">
        <v>1</v>
      </c>
      <c r="F24">
        <v>0.9</v>
      </c>
      <c r="G24">
        <v>0.7</v>
      </c>
      <c r="H24">
        <v>0.7</v>
      </c>
    </row>
    <row r="25" spans="1:8" x14ac:dyDescent="0.3">
      <c r="A25" s="16"/>
      <c r="B25" s="16"/>
      <c r="C25" t="s">
        <v>713</v>
      </c>
      <c r="D25" t="s">
        <v>334</v>
      </c>
      <c r="E25">
        <f>1/1.2</f>
        <v>0.83333333333333337</v>
      </c>
      <c r="F25">
        <v>0.9</v>
      </c>
      <c r="G25">
        <v>0.7</v>
      </c>
      <c r="H25">
        <v>0.7</v>
      </c>
    </row>
    <row r="26" spans="1:8" x14ac:dyDescent="0.3">
      <c r="A26" s="16"/>
      <c r="B26" s="16"/>
      <c r="C26" t="s">
        <v>740</v>
      </c>
      <c r="D26" t="s">
        <v>334</v>
      </c>
      <c r="E26">
        <v>1</v>
      </c>
      <c r="F26">
        <v>0.9</v>
      </c>
      <c r="G26">
        <v>0.7</v>
      </c>
      <c r="H26">
        <v>0.7</v>
      </c>
    </row>
    <row r="27" spans="1:8" x14ac:dyDescent="0.3">
      <c r="A27" s="16"/>
      <c r="B27" s="16"/>
      <c r="C27" t="s">
        <v>714</v>
      </c>
      <c r="D27" t="s">
        <v>334</v>
      </c>
      <c r="E27">
        <v>1</v>
      </c>
      <c r="F27">
        <v>0.9</v>
      </c>
      <c r="G27">
        <v>0.7</v>
      </c>
      <c r="H27">
        <v>0.7</v>
      </c>
    </row>
    <row r="28" spans="1:8" x14ac:dyDescent="0.3">
      <c r="A28" s="16"/>
      <c r="B28" s="16"/>
      <c r="C28" t="s">
        <v>721</v>
      </c>
      <c r="D28" t="s">
        <v>334</v>
      </c>
      <c r="E28">
        <f>1/0.7</f>
        <v>1.4285714285714286</v>
      </c>
      <c r="F28">
        <v>0.9</v>
      </c>
      <c r="G28">
        <v>0.7</v>
      </c>
      <c r="H28">
        <v>0.7</v>
      </c>
    </row>
    <row r="29" spans="1:8" x14ac:dyDescent="0.3">
      <c r="A29" s="16"/>
      <c r="B29" s="16"/>
      <c r="C29" t="s">
        <v>803</v>
      </c>
      <c r="D29" t="s">
        <v>334</v>
      </c>
      <c r="E29">
        <v>1</v>
      </c>
      <c r="F29">
        <v>0.9</v>
      </c>
      <c r="G29">
        <v>0.7</v>
      </c>
      <c r="H29">
        <v>0.7</v>
      </c>
    </row>
    <row r="30" spans="1:8" x14ac:dyDescent="0.3">
      <c r="A30" s="16"/>
      <c r="B30" s="16"/>
      <c r="C30" t="s">
        <v>715</v>
      </c>
      <c r="D30" t="s">
        <v>334</v>
      </c>
      <c r="E30">
        <v>1</v>
      </c>
      <c r="F30">
        <v>0.9</v>
      </c>
      <c r="G30">
        <v>0.7</v>
      </c>
      <c r="H30">
        <v>0.7</v>
      </c>
    </row>
    <row r="31" spans="1:8" x14ac:dyDescent="0.3">
      <c r="A31" s="16"/>
      <c r="B31" s="16"/>
      <c r="C31" t="s">
        <v>716</v>
      </c>
      <c r="D31" t="s">
        <v>334</v>
      </c>
      <c r="E31">
        <f>1/1.2</f>
        <v>0.83333333333333337</v>
      </c>
      <c r="F31">
        <v>0.9</v>
      </c>
      <c r="G31">
        <v>0.7</v>
      </c>
      <c r="H31">
        <v>0.7</v>
      </c>
    </row>
    <row r="32" spans="1:8" x14ac:dyDescent="0.3">
      <c r="A32" s="16"/>
      <c r="B32" s="16"/>
      <c r="C32" t="s">
        <v>717</v>
      </c>
      <c r="D32" t="s">
        <v>334</v>
      </c>
      <c r="E32">
        <v>1</v>
      </c>
      <c r="F32">
        <v>0.9</v>
      </c>
      <c r="G32">
        <v>0.7</v>
      </c>
      <c r="H32">
        <v>0.7</v>
      </c>
    </row>
    <row r="33" spans="1:8" x14ac:dyDescent="0.3">
      <c r="A33" s="16"/>
      <c r="B33" s="16"/>
      <c r="C33" t="s">
        <v>745</v>
      </c>
      <c r="D33" t="s">
        <v>334</v>
      </c>
      <c r="E33">
        <v>1</v>
      </c>
      <c r="F33">
        <v>0.9</v>
      </c>
      <c r="G33">
        <v>0.7</v>
      </c>
      <c r="H33">
        <v>0.7</v>
      </c>
    </row>
    <row r="34" spans="1:8" x14ac:dyDescent="0.3">
      <c r="A34" s="16"/>
      <c r="B34" s="16"/>
      <c r="C34" t="s">
        <v>720</v>
      </c>
      <c r="D34" t="s">
        <v>334</v>
      </c>
      <c r="E34">
        <f>1/0.7</f>
        <v>1.4285714285714286</v>
      </c>
      <c r="F34">
        <v>0.9</v>
      </c>
      <c r="G34">
        <v>0.7</v>
      </c>
      <c r="H34">
        <v>0.7</v>
      </c>
    </row>
    <row r="35" spans="1:8" x14ac:dyDescent="0.3">
      <c r="A35" s="16"/>
      <c r="B35" s="16"/>
      <c r="C35" t="s">
        <v>805</v>
      </c>
      <c r="D35" t="s">
        <v>334</v>
      </c>
      <c r="E35">
        <v>1</v>
      </c>
      <c r="F35">
        <v>0.9</v>
      </c>
      <c r="G35">
        <v>0.7</v>
      </c>
      <c r="H35">
        <v>0.7</v>
      </c>
    </row>
    <row r="36" spans="1:8" x14ac:dyDescent="0.3">
      <c r="A36" s="16"/>
      <c r="B36" s="16"/>
      <c r="C36" t="s">
        <v>718</v>
      </c>
      <c r="D36" t="s">
        <v>334</v>
      </c>
      <c r="E36">
        <v>1</v>
      </c>
      <c r="F36">
        <v>0.9</v>
      </c>
      <c r="G36">
        <v>0.7</v>
      </c>
      <c r="H36">
        <v>0.7</v>
      </c>
    </row>
    <row r="37" spans="1:8" x14ac:dyDescent="0.3">
      <c r="A37" s="16"/>
      <c r="B37" s="16"/>
      <c r="C37" t="s">
        <v>719</v>
      </c>
      <c r="D37" t="s">
        <v>334</v>
      </c>
      <c r="E37">
        <f>1/1.2</f>
        <v>0.83333333333333337</v>
      </c>
      <c r="F37">
        <v>0.9</v>
      </c>
      <c r="G37">
        <v>0.7</v>
      </c>
      <c r="H37">
        <v>0.7</v>
      </c>
    </row>
    <row r="38" spans="1:8" x14ac:dyDescent="0.3">
      <c r="A38" s="16"/>
      <c r="B38" s="16"/>
      <c r="C38" t="s">
        <v>820</v>
      </c>
      <c r="D38" t="s">
        <v>334</v>
      </c>
      <c r="E38">
        <v>1</v>
      </c>
      <c r="F38">
        <v>0.9</v>
      </c>
      <c r="G38">
        <v>0.7</v>
      </c>
      <c r="H38">
        <v>0.7</v>
      </c>
    </row>
    <row r="39" spans="1:8" x14ac:dyDescent="0.3">
      <c r="A39" s="16"/>
      <c r="B39" s="16"/>
      <c r="C39" t="s">
        <v>1041</v>
      </c>
      <c r="D39" t="s">
        <v>334</v>
      </c>
      <c r="E39">
        <v>1</v>
      </c>
      <c r="F39">
        <v>0.9</v>
      </c>
      <c r="G39">
        <v>0.7</v>
      </c>
      <c r="H39">
        <v>0.7</v>
      </c>
    </row>
    <row r="40" spans="1:8" x14ac:dyDescent="0.3">
      <c r="A40" s="16"/>
      <c r="B40" s="16"/>
      <c r="C40" t="s">
        <v>1040</v>
      </c>
      <c r="D40" t="s">
        <v>334</v>
      </c>
      <c r="E40">
        <v>1</v>
      </c>
      <c r="F40">
        <v>0.9</v>
      </c>
      <c r="G40">
        <v>0.7</v>
      </c>
      <c r="H40">
        <v>0.7</v>
      </c>
    </row>
    <row r="41" spans="1:8" x14ac:dyDescent="0.3">
      <c r="A41" s="16"/>
      <c r="B41" s="16"/>
      <c r="C41" t="s">
        <v>1039</v>
      </c>
      <c r="D41" t="s">
        <v>334</v>
      </c>
      <c r="E41">
        <f>1/0.7</f>
        <v>1.4285714285714286</v>
      </c>
      <c r="F41">
        <v>0.9</v>
      </c>
      <c r="G41">
        <v>0.7</v>
      </c>
      <c r="H41">
        <v>0.7</v>
      </c>
    </row>
    <row r="42" spans="1:8" x14ac:dyDescent="0.3">
      <c r="A42" s="16"/>
      <c r="B42" s="16"/>
      <c r="C42" t="s">
        <v>1038</v>
      </c>
      <c r="D42" t="s">
        <v>334</v>
      </c>
      <c r="E42">
        <v>1</v>
      </c>
      <c r="F42">
        <v>0.9</v>
      </c>
      <c r="G42">
        <v>0.7</v>
      </c>
      <c r="H42">
        <v>0.7</v>
      </c>
    </row>
    <row r="43" spans="1:8" x14ac:dyDescent="0.3">
      <c r="A43" s="16"/>
      <c r="B43" s="16"/>
      <c r="C43" t="s">
        <v>1037</v>
      </c>
      <c r="D43" t="s">
        <v>334</v>
      </c>
      <c r="E43">
        <v>1</v>
      </c>
      <c r="F43">
        <v>0.9</v>
      </c>
      <c r="G43">
        <v>0.7</v>
      </c>
      <c r="H43">
        <v>0.7</v>
      </c>
    </row>
    <row r="44" spans="1:8" x14ac:dyDescent="0.3">
      <c r="A44" s="16"/>
      <c r="B44" s="16"/>
      <c r="C44" t="s">
        <v>1036</v>
      </c>
      <c r="D44" t="s">
        <v>334</v>
      </c>
      <c r="E44">
        <f>1/1.2</f>
        <v>0.83333333333333337</v>
      </c>
      <c r="F44">
        <v>0.9</v>
      </c>
      <c r="G44">
        <v>0.7</v>
      </c>
      <c r="H44">
        <v>0.7</v>
      </c>
    </row>
    <row r="45" spans="1:8" x14ac:dyDescent="0.3">
      <c r="A45" s="16"/>
      <c r="B45" s="16"/>
      <c r="C45" t="s">
        <v>1047</v>
      </c>
      <c r="D45" t="s">
        <v>334</v>
      </c>
      <c r="E45">
        <v>1</v>
      </c>
      <c r="F45">
        <v>0.9</v>
      </c>
      <c r="G45">
        <v>0.7</v>
      </c>
      <c r="H45">
        <v>0.7</v>
      </c>
    </row>
    <row r="46" spans="1:8" x14ac:dyDescent="0.3">
      <c r="A46" s="16"/>
      <c r="B46" s="16"/>
      <c r="C46" t="s">
        <v>1046</v>
      </c>
      <c r="D46" t="s">
        <v>334</v>
      </c>
      <c r="E46">
        <v>1</v>
      </c>
      <c r="F46">
        <v>0.9</v>
      </c>
      <c r="G46">
        <v>0.7</v>
      </c>
      <c r="H46">
        <v>0.7</v>
      </c>
    </row>
    <row r="47" spans="1:8" x14ac:dyDescent="0.3">
      <c r="A47" s="16"/>
      <c r="B47" s="16"/>
      <c r="C47" t="s">
        <v>1045</v>
      </c>
      <c r="D47" t="s">
        <v>334</v>
      </c>
      <c r="E47">
        <f>1/0.7</f>
        <v>1.4285714285714286</v>
      </c>
      <c r="F47">
        <v>0.9</v>
      </c>
      <c r="G47">
        <v>0.7</v>
      </c>
      <c r="H47">
        <v>0.7</v>
      </c>
    </row>
    <row r="48" spans="1:8" x14ac:dyDescent="0.3">
      <c r="A48" s="16"/>
      <c r="B48" s="16"/>
      <c r="C48" t="s">
        <v>1044</v>
      </c>
      <c r="D48" t="s">
        <v>334</v>
      </c>
      <c r="E48">
        <v>1</v>
      </c>
      <c r="F48">
        <v>0.9</v>
      </c>
      <c r="G48">
        <v>0.7</v>
      </c>
      <c r="H48">
        <v>0.7</v>
      </c>
    </row>
    <row r="49" spans="1:8" x14ac:dyDescent="0.3">
      <c r="A49" s="16"/>
      <c r="B49" s="16"/>
      <c r="C49" t="s">
        <v>1043</v>
      </c>
      <c r="D49" t="s">
        <v>334</v>
      </c>
      <c r="E49">
        <v>1</v>
      </c>
      <c r="F49">
        <v>0.9</v>
      </c>
      <c r="G49">
        <v>0.7</v>
      </c>
      <c r="H49">
        <v>0.7</v>
      </c>
    </row>
    <row r="50" spans="1:8" x14ac:dyDescent="0.3">
      <c r="A50" s="16"/>
      <c r="B50" s="16"/>
      <c r="C50" t="s">
        <v>1042</v>
      </c>
      <c r="D50" t="s">
        <v>334</v>
      </c>
      <c r="E50">
        <f>1/1.2</f>
        <v>0.83333333333333337</v>
      </c>
      <c r="F50">
        <v>0.9</v>
      </c>
      <c r="G50">
        <v>0.7</v>
      </c>
      <c r="H50">
        <v>0.7</v>
      </c>
    </row>
  </sheetData>
  <mergeCells count="2">
    <mergeCell ref="B1:B50"/>
    <mergeCell ref="A1:A50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F18D-6FBF-48AB-9CAD-22629A6FBA9A}">
  <dimension ref="A1:F33"/>
  <sheetViews>
    <sheetView zoomScale="145" zoomScaleNormal="145" workbookViewId="0">
      <selection activeCell="D30" sqref="D30"/>
    </sheetView>
  </sheetViews>
  <sheetFormatPr defaultRowHeight="14" x14ac:dyDescent="0.3"/>
  <cols>
    <col min="1" max="1" width="3.6640625" bestFit="1" customWidth="1"/>
    <col min="2" max="2" width="42.75" bestFit="1" customWidth="1"/>
    <col min="3" max="3" width="25" bestFit="1" customWidth="1"/>
    <col min="4" max="4" width="19" bestFit="1" customWidth="1"/>
    <col min="5" max="5" width="21.58203125" bestFit="1" customWidth="1"/>
    <col min="6" max="6" width="17.25" bestFit="1" customWidth="1"/>
  </cols>
  <sheetData>
    <row r="1" spans="1:6" x14ac:dyDescent="0.3">
      <c r="A1" s="16" t="s">
        <v>317</v>
      </c>
      <c r="B1" s="16" t="s">
        <v>338</v>
      </c>
      <c r="C1" t="s">
        <v>42</v>
      </c>
      <c r="D1" t="s">
        <v>357</v>
      </c>
      <c r="E1" s="3" t="s">
        <v>353</v>
      </c>
      <c r="F1" s="3" t="s">
        <v>354</v>
      </c>
    </row>
    <row r="2" spans="1:6" x14ac:dyDescent="0.3">
      <c r="A2" s="16"/>
      <c r="B2" s="16"/>
      <c r="C2" t="s">
        <v>339</v>
      </c>
      <c r="D2">
        <v>4.7</v>
      </c>
      <c r="E2">
        <v>0.4</v>
      </c>
      <c r="F2">
        <v>0.6</v>
      </c>
    </row>
    <row r="3" spans="1:6" x14ac:dyDescent="0.3">
      <c r="A3" s="16"/>
      <c r="B3" s="16"/>
      <c r="C3" t="s">
        <v>340</v>
      </c>
      <c r="D3">
        <v>3.2</v>
      </c>
      <c r="E3">
        <v>0.4</v>
      </c>
      <c r="F3">
        <v>0.6</v>
      </c>
    </row>
    <row r="4" spans="1:6" x14ac:dyDescent="0.3">
      <c r="A4" s="16"/>
      <c r="B4" s="16"/>
      <c r="C4" t="s">
        <v>341</v>
      </c>
      <c r="D4">
        <v>4.7</v>
      </c>
      <c r="E4">
        <v>0.4</v>
      </c>
      <c r="F4">
        <v>0.6</v>
      </c>
    </row>
    <row r="5" spans="1:6" x14ac:dyDescent="0.3">
      <c r="A5" s="16"/>
      <c r="B5" s="16"/>
      <c r="C5" t="s">
        <v>342</v>
      </c>
      <c r="D5">
        <v>4.7</v>
      </c>
      <c r="E5">
        <v>0.4</v>
      </c>
      <c r="F5">
        <v>0.6</v>
      </c>
    </row>
    <row r="6" spans="1:6" x14ac:dyDescent="0.3">
      <c r="A6" s="16"/>
      <c r="B6" s="16"/>
      <c r="C6" t="s">
        <v>726</v>
      </c>
      <c r="D6">
        <v>2.5</v>
      </c>
      <c r="E6">
        <v>0.3</v>
      </c>
      <c r="F6">
        <v>0.6</v>
      </c>
    </row>
    <row r="7" spans="1:6" x14ac:dyDescent="0.3">
      <c r="A7" s="16"/>
      <c r="B7" s="16"/>
      <c r="C7" t="s">
        <v>727</v>
      </c>
      <c r="D7">
        <v>2.5</v>
      </c>
      <c r="E7">
        <v>0.3</v>
      </c>
      <c r="F7">
        <v>0.6</v>
      </c>
    </row>
    <row r="8" spans="1:6" x14ac:dyDescent="0.3">
      <c r="A8" s="16"/>
      <c r="B8" s="16"/>
      <c r="C8" t="s">
        <v>728</v>
      </c>
      <c r="D8">
        <v>2.5</v>
      </c>
      <c r="E8">
        <v>0.3</v>
      </c>
      <c r="F8">
        <v>0.6</v>
      </c>
    </row>
    <row r="9" spans="1:6" x14ac:dyDescent="0.3">
      <c r="A9" s="16"/>
      <c r="B9" s="16"/>
      <c r="C9" t="s">
        <v>729</v>
      </c>
      <c r="D9">
        <v>2.5</v>
      </c>
      <c r="E9">
        <v>0.35</v>
      </c>
      <c r="F9">
        <v>0.6</v>
      </c>
    </row>
    <row r="10" spans="1:6" x14ac:dyDescent="0.3">
      <c r="A10" s="16"/>
      <c r="B10" s="16"/>
      <c r="C10" t="s">
        <v>731</v>
      </c>
      <c r="D10">
        <v>2.5</v>
      </c>
      <c r="E10">
        <v>0.3</v>
      </c>
      <c r="F10">
        <v>0.6</v>
      </c>
    </row>
    <row r="11" spans="1:6" x14ac:dyDescent="0.3">
      <c r="A11" s="16"/>
      <c r="B11" s="16"/>
      <c r="C11" t="s">
        <v>732</v>
      </c>
      <c r="D11">
        <v>2.5</v>
      </c>
      <c r="E11">
        <v>0.3</v>
      </c>
      <c r="F11">
        <v>0.6</v>
      </c>
    </row>
    <row r="12" spans="1:6" x14ac:dyDescent="0.3">
      <c r="A12" s="16"/>
      <c r="B12" s="16"/>
      <c r="C12" t="s">
        <v>733</v>
      </c>
      <c r="D12">
        <v>2.5</v>
      </c>
      <c r="E12">
        <v>0.3</v>
      </c>
      <c r="F12">
        <v>0.6</v>
      </c>
    </row>
    <row r="13" spans="1:6" x14ac:dyDescent="0.3">
      <c r="A13" s="16"/>
      <c r="B13" s="16"/>
      <c r="C13" t="s">
        <v>734</v>
      </c>
      <c r="D13">
        <v>2.5</v>
      </c>
      <c r="E13">
        <v>0.35</v>
      </c>
      <c r="F13">
        <v>0.6</v>
      </c>
    </row>
    <row r="14" spans="1:6" x14ac:dyDescent="0.3">
      <c r="A14" s="16"/>
      <c r="B14" s="16"/>
      <c r="C14" t="s">
        <v>736</v>
      </c>
      <c r="D14">
        <v>2.5</v>
      </c>
      <c r="E14">
        <v>0.3</v>
      </c>
      <c r="F14">
        <v>0.6</v>
      </c>
    </row>
    <row r="15" spans="1:6" x14ac:dyDescent="0.3">
      <c r="A15" s="16"/>
      <c r="B15" s="16"/>
      <c r="C15" t="s">
        <v>737</v>
      </c>
      <c r="D15">
        <v>2.5</v>
      </c>
      <c r="E15">
        <v>0.3</v>
      </c>
      <c r="F15">
        <v>0.6</v>
      </c>
    </row>
    <row r="16" spans="1:6" x14ac:dyDescent="0.3">
      <c r="A16" s="16"/>
      <c r="B16" s="16"/>
      <c r="C16" t="s">
        <v>738</v>
      </c>
      <c r="D16">
        <v>2.5</v>
      </c>
      <c r="E16">
        <v>0.3</v>
      </c>
      <c r="F16">
        <v>0.6</v>
      </c>
    </row>
    <row r="17" spans="1:6" x14ac:dyDescent="0.3">
      <c r="A17" s="16"/>
      <c r="B17" s="16"/>
      <c r="C17" t="s">
        <v>1073</v>
      </c>
      <c r="D17">
        <v>2.5</v>
      </c>
      <c r="E17">
        <v>0.35</v>
      </c>
      <c r="F17">
        <v>0.6</v>
      </c>
    </row>
    <row r="18" spans="1:6" x14ac:dyDescent="0.3">
      <c r="A18" s="16"/>
      <c r="B18" s="16"/>
      <c r="C18" t="s">
        <v>741</v>
      </c>
      <c r="D18">
        <v>2.5</v>
      </c>
      <c r="E18">
        <v>0.3</v>
      </c>
      <c r="F18">
        <v>0.6</v>
      </c>
    </row>
    <row r="19" spans="1:6" x14ac:dyDescent="0.3">
      <c r="A19" s="16"/>
      <c r="B19" s="16"/>
      <c r="C19" t="s">
        <v>742</v>
      </c>
      <c r="D19">
        <v>2.5</v>
      </c>
      <c r="E19">
        <v>0.3</v>
      </c>
      <c r="F19">
        <v>0.6</v>
      </c>
    </row>
    <row r="20" spans="1:6" x14ac:dyDescent="0.3">
      <c r="A20" s="16"/>
      <c r="B20" s="16"/>
      <c r="C20" t="s">
        <v>743</v>
      </c>
      <c r="D20">
        <v>2.5</v>
      </c>
      <c r="E20">
        <v>0.3</v>
      </c>
      <c r="F20">
        <v>0.6</v>
      </c>
    </row>
    <row r="21" spans="1:6" x14ac:dyDescent="0.3">
      <c r="A21" s="16"/>
      <c r="B21" s="16"/>
      <c r="C21" t="s">
        <v>744</v>
      </c>
      <c r="D21">
        <v>2.5</v>
      </c>
      <c r="E21">
        <v>0.35</v>
      </c>
      <c r="F21">
        <v>0.6</v>
      </c>
    </row>
    <row r="22" spans="1:6" x14ac:dyDescent="0.3">
      <c r="A22" s="16"/>
      <c r="B22" s="16"/>
      <c r="C22" t="s">
        <v>746</v>
      </c>
      <c r="D22">
        <v>2.5</v>
      </c>
      <c r="E22">
        <v>0.3</v>
      </c>
      <c r="F22">
        <v>0.6</v>
      </c>
    </row>
    <row r="23" spans="1:6" x14ac:dyDescent="0.3">
      <c r="A23" s="16"/>
      <c r="B23" s="16"/>
      <c r="C23" t="s">
        <v>747</v>
      </c>
      <c r="D23">
        <v>2.5</v>
      </c>
      <c r="E23">
        <v>0.3</v>
      </c>
      <c r="F23">
        <v>0.6</v>
      </c>
    </row>
    <row r="24" spans="1:6" x14ac:dyDescent="0.3">
      <c r="A24" s="16"/>
      <c r="B24" s="16"/>
      <c r="C24" t="s">
        <v>748</v>
      </c>
      <c r="D24">
        <v>2.5</v>
      </c>
      <c r="E24">
        <v>0.3</v>
      </c>
      <c r="F24">
        <v>0.6</v>
      </c>
    </row>
    <row r="25" spans="1:6" x14ac:dyDescent="0.3">
      <c r="A25" s="16"/>
      <c r="B25" s="16"/>
      <c r="C25" t="s">
        <v>749</v>
      </c>
      <c r="D25">
        <v>2.5</v>
      </c>
      <c r="E25">
        <v>0.35</v>
      </c>
      <c r="F25">
        <v>0.6</v>
      </c>
    </row>
    <row r="26" spans="1:6" x14ac:dyDescent="0.3">
      <c r="A26" s="16"/>
      <c r="B26" s="16"/>
      <c r="C26" t="s">
        <v>1075</v>
      </c>
      <c r="D26">
        <v>2.5</v>
      </c>
      <c r="E26">
        <v>0.3</v>
      </c>
      <c r="F26">
        <v>0.6</v>
      </c>
    </row>
    <row r="27" spans="1:6" x14ac:dyDescent="0.3">
      <c r="A27" s="16"/>
      <c r="B27" s="16"/>
      <c r="C27" t="s">
        <v>1076</v>
      </c>
      <c r="D27">
        <v>2.5</v>
      </c>
      <c r="E27">
        <v>0.3</v>
      </c>
      <c r="F27">
        <v>0.6</v>
      </c>
    </row>
    <row r="28" spans="1:6" x14ac:dyDescent="0.3">
      <c r="A28" s="16"/>
      <c r="B28" s="16"/>
      <c r="C28" t="s">
        <v>1077</v>
      </c>
      <c r="D28">
        <v>2.5</v>
      </c>
      <c r="E28">
        <v>0.3</v>
      </c>
      <c r="F28">
        <v>0.6</v>
      </c>
    </row>
    <row r="29" spans="1:6" x14ac:dyDescent="0.3">
      <c r="A29" s="16"/>
      <c r="B29" s="16"/>
      <c r="C29" t="s">
        <v>1078</v>
      </c>
      <c r="D29">
        <v>2.5</v>
      </c>
      <c r="E29">
        <v>0.35</v>
      </c>
      <c r="F29">
        <v>0.6</v>
      </c>
    </row>
    <row r="30" spans="1:6" x14ac:dyDescent="0.3">
      <c r="A30" s="16"/>
      <c r="B30" s="16"/>
      <c r="C30" t="s">
        <v>1032</v>
      </c>
      <c r="D30">
        <v>2.5</v>
      </c>
      <c r="E30">
        <v>0.3</v>
      </c>
      <c r="F30">
        <v>0.6</v>
      </c>
    </row>
    <row r="31" spans="1:6" x14ac:dyDescent="0.3">
      <c r="A31" s="16"/>
      <c r="B31" s="16"/>
      <c r="C31" t="s">
        <v>1033</v>
      </c>
      <c r="D31">
        <v>2.5</v>
      </c>
      <c r="E31">
        <v>0.3</v>
      </c>
      <c r="F31">
        <v>0.6</v>
      </c>
    </row>
    <row r="32" spans="1:6" x14ac:dyDescent="0.3">
      <c r="A32" s="16"/>
      <c r="B32" s="16"/>
      <c r="C32" t="s">
        <v>1034</v>
      </c>
      <c r="D32">
        <v>2.5</v>
      </c>
      <c r="E32">
        <v>0.3</v>
      </c>
      <c r="F32">
        <v>0.6</v>
      </c>
    </row>
    <row r="33" spans="1:6" x14ac:dyDescent="0.3">
      <c r="A33" s="16"/>
      <c r="B33" s="16"/>
      <c r="C33" t="s">
        <v>1074</v>
      </c>
      <c r="D33">
        <v>2.5</v>
      </c>
      <c r="E33">
        <v>0.35</v>
      </c>
      <c r="F33">
        <v>0.6</v>
      </c>
    </row>
  </sheetData>
  <mergeCells count="2">
    <mergeCell ref="B1:B33"/>
    <mergeCell ref="A1:A33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32FC-8DAD-4156-8B14-A1FE6CC46D1C}">
  <dimension ref="A1:F82"/>
  <sheetViews>
    <sheetView topLeftCell="A67" zoomScale="145" zoomScaleNormal="145" workbookViewId="0">
      <selection activeCell="D82" sqref="D82"/>
    </sheetView>
  </sheetViews>
  <sheetFormatPr defaultRowHeight="14" x14ac:dyDescent="0.3"/>
  <cols>
    <col min="1" max="1" width="3.6640625" bestFit="1" customWidth="1"/>
    <col min="2" max="2" width="16.4140625" bestFit="1" customWidth="1"/>
    <col min="3" max="3" width="38.58203125" bestFit="1" customWidth="1"/>
    <col min="4" max="4" width="30.9140625" bestFit="1" customWidth="1"/>
    <col min="5" max="6" width="6.75" bestFit="1" customWidth="1"/>
  </cols>
  <sheetData>
    <row r="1" spans="1:6" x14ac:dyDescent="0.3">
      <c r="A1" s="16" t="s">
        <v>317</v>
      </c>
      <c r="B1" s="16" t="s">
        <v>343</v>
      </c>
      <c r="C1" s="3" t="s">
        <v>42</v>
      </c>
      <c r="D1" s="3" t="s">
        <v>358</v>
      </c>
      <c r="E1" s="3" t="s">
        <v>355</v>
      </c>
      <c r="F1" s="3" t="s">
        <v>356</v>
      </c>
    </row>
    <row r="2" spans="1:6" x14ac:dyDescent="0.3">
      <c r="A2" s="16"/>
      <c r="B2" s="16"/>
      <c r="C2" t="s">
        <v>344</v>
      </c>
      <c r="D2" t="s">
        <v>333</v>
      </c>
    </row>
    <row r="3" spans="1:6" x14ac:dyDescent="0.3">
      <c r="A3" s="16"/>
      <c r="B3" s="16"/>
      <c r="C3" t="s">
        <v>400</v>
      </c>
      <c r="D3" t="s">
        <v>335</v>
      </c>
    </row>
    <row r="4" spans="1:6" x14ac:dyDescent="0.3">
      <c r="A4" s="16"/>
      <c r="B4" s="16"/>
      <c r="C4" t="s">
        <v>401</v>
      </c>
      <c r="D4" t="s">
        <v>336</v>
      </c>
    </row>
    <row r="5" spans="1:6" x14ac:dyDescent="0.3">
      <c r="A5" s="16"/>
      <c r="B5" s="16"/>
      <c r="C5" t="s">
        <v>806</v>
      </c>
      <c r="D5" t="s">
        <v>795</v>
      </c>
    </row>
    <row r="6" spans="1:6" x14ac:dyDescent="0.3">
      <c r="A6" s="16"/>
      <c r="B6" s="16"/>
      <c r="C6" t="s">
        <v>397</v>
      </c>
      <c r="D6" t="s">
        <v>337</v>
      </c>
    </row>
    <row r="7" spans="1:6" x14ac:dyDescent="0.3">
      <c r="A7" s="16"/>
      <c r="B7" s="16"/>
      <c r="C7" t="s">
        <v>398</v>
      </c>
      <c r="D7" t="s">
        <v>399</v>
      </c>
    </row>
    <row r="8" spans="1:6" x14ac:dyDescent="0.3">
      <c r="A8" s="16"/>
      <c r="B8" s="16"/>
      <c r="C8" t="s">
        <v>750</v>
      </c>
      <c r="D8" t="s">
        <v>725</v>
      </c>
    </row>
    <row r="9" spans="1:6" x14ac:dyDescent="0.3">
      <c r="A9" s="16"/>
      <c r="B9" s="16"/>
      <c r="C9" t="s">
        <v>751</v>
      </c>
      <c r="D9" t="s">
        <v>704</v>
      </c>
    </row>
    <row r="10" spans="1:6" x14ac:dyDescent="0.3">
      <c r="A10" s="16"/>
      <c r="B10" s="16"/>
      <c r="C10" t="s">
        <v>754</v>
      </c>
      <c r="D10" t="s">
        <v>724</v>
      </c>
    </row>
    <row r="11" spans="1:6" x14ac:dyDescent="0.3">
      <c r="A11" s="16"/>
      <c r="B11" s="16"/>
      <c r="C11" t="s">
        <v>807</v>
      </c>
      <c r="D11" t="s">
        <v>797</v>
      </c>
    </row>
    <row r="12" spans="1:6" x14ac:dyDescent="0.3">
      <c r="A12" s="16"/>
      <c r="B12" s="16"/>
      <c r="C12" t="s">
        <v>752</v>
      </c>
      <c r="D12" t="s">
        <v>705</v>
      </c>
    </row>
    <row r="13" spans="1:6" x14ac:dyDescent="0.3">
      <c r="A13" s="16"/>
      <c r="B13" s="16"/>
      <c r="C13" t="s">
        <v>753</v>
      </c>
      <c r="D13" t="s">
        <v>706</v>
      </c>
    </row>
    <row r="14" spans="1:6" x14ac:dyDescent="0.3">
      <c r="A14" s="16"/>
      <c r="B14" s="16"/>
      <c r="C14" t="s">
        <v>755</v>
      </c>
      <c r="D14" t="s">
        <v>730</v>
      </c>
    </row>
    <row r="15" spans="1:6" x14ac:dyDescent="0.3">
      <c r="A15" s="16"/>
      <c r="B15" s="16"/>
      <c r="C15" t="s">
        <v>756</v>
      </c>
      <c r="D15" t="s">
        <v>708</v>
      </c>
    </row>
    <row r="16" spans="1:6" x14ac:dyDescent="0.3">
      <c r="A16" s="16"/>
      <c r="B16" s="16"/>
      <c r="C16" t="s">
        <v>757</v>
      </c>
      <c r="D16" t="s">
        <v>723</v>
      </c>
    </row>
    <row r="17" spans="1:4" x14ac:dyDescent="0.3">
      <c r="A17" s="16"/>
      <c r="B17" s="16"/>
      <c r="C17" t="s">
        <v>808</v>
      </c>
      <c r="D17" t="s">
        <v>799</v>
      </c>
    </row>
    <row r="18" spans="1:4" x14ac:dyDescent="0.3">
      <c r="A18" s="16"/>
      <c r="B18" s="16"/>
      <c r="C18" t="s">
        <v>758</v>
      </c>
      <c r="D18" t="s">
        <v>709</v>
      </c>
    </row>
    <row r="19" spans="1:4" x14ac:dyDescent="0.3">
      <c r="A19" s="16"/>
      <c r="B19" s="16"/>
      <c r="C19" t="s">
        <v>759</v>
      </c>
      <c r="D19" t="s">
        <v>710</v>
      </c>
    </row>
    <row r="20" spans="1:4" x14ac:dyDescent="0.3">
      <c r="A20" s="16"/>
      <c r="B20" s="16"/>
      <c r="C20" t="s">
        <v>760</v>
      </c>
      <c r="D20" t="s">
        <v>735</v>
      </c>
    </row>
    <row r="21" spans="1:4" x14ac:dyDescent="0.3">
      <c r="A21" s="16"/>
      <c r="B21" s="16"/>
      <c r="C21" t="s">
        <v>761</v>
      </c>
      <c r="D21" t="s">
        <v>711</v>
      </c>
    </row>
    <row r="22" spans="1:4" x14ac:dyDescent="0.3">
      <c r="A22" s="16"/>
      <c r="B22" s="16"/>
      <c r="C22" t="s">
        <v>764</v>
      </c>
      <c r="D22" t="s">
        <v>722</v>
      </c>
    </row>
    <row r="23" spans="1:4" x14ac:dyDescent="0.3">
      <c r="A23" s="16"/>
      <c r="B23" s="16"/>
      <c r="C23" t="s">
        <v>809</v>
      </c>
      <c r="D23" t="s">
        <v>800</v>
      </c>
    </row>
    <row r="24" spans="1:4" x14ac:dyDescent="0.3">
      <c r="A24" s="16"/>
      <c r="B24" s="16"/>
      <c r="C24" t="s">
        <v>762</v>
      </c>
      <c r="D24" t="s">
        <v>712</v>
      </c>
    </row>
    <row r="25" spans="1:4" x14ac:dyDescent="0.3">
      <c r="A25" s="16"/>
      <c r="B25" s="16"/>
      <c r="C25" t="s">
        <v>763</v>
      </c>
      <c r="D25" t="s">
        <v>713</v>
      </c>
    </row>
    <row r="26" spans="1:4" x14ac:dyDescent="0.3">
      <c r="A26" s="16"/>
      <c r="B26" s="16"/>
      <c r="C26" t="s">
        <v>765</v>
      </c>
      <c r="D26" t="s">
        <v>740</v>
      </c>
    </row>
    <row r="27" spans="1:4" x14ac:dyDescent="0.3">
      <c r="A27" s="16"/>
      <c r="B27" s="16"/>
      <c r="C27" t="s">
        <v>766</v>
      </c>
      <c r="D27" t="s">
        <v>714</v>
      </c>
    </row>
    <row r="28" spans="1:4" x14ac:dyDescent="0.3">
      <c r="A28" s="16"/>
      <c r="B28" s="16"/>
      <c r="C28" t="s">
        <v>767</v>
      </c>
      <c r="D28" t="s">
        <v>721</v>
      </c>
    </row>
    <row r="29" spans="1:4" x14ac:dyDescent="0.3">
      <c r="A29" s="16"/>
      <c r="B29" s="16"/>
      <c r="C29" t="s">
        <v>810</v>
      </c>
      <c r="D29" t="s">
        <v>802</v>
      </c>
    </row>
    <row r="30" spans="1:4" x14ac:dyDescent="0.3">
      <c r="A30" s="16"/>
      <c r="B30" s="16"/>
      <c r="C30" t="s">
        <v>768</v>
      </c>
      <c r="D30" t="s">
        <v>715</v>
      </c>
    </row>
    <row r="31" spans="1:4" x14ac:dyDescent="0.3">
      <c r="A31" s="16"/>
      <c r="B31" s="16"/>
      <c r="C31" t="s">
        <v>769</v>
      </c>
      <c r="D31" t="s">
        <v>716</v>
      </c>
    </row>
    <row r="32" spans="1:4" x14ac:dyDescent="0.3">
      <c r="A32" s="16"/>
      <c r="B32" s="16"/>
      <c r="C32" t="s">
        <v>771</v>
      </c>
      <c r="D32" t="s">
        <v>770</v>
      </c>
    </row>
    <row r="33" spans="1:4" x14ac:dyDescent="0.3">
      <c r="A33" s="16"/>
      <c r="B33" s="16"/>
      <c r="C33" t="s">
        <v>826</v>
      </c>
      <c r="D33" t="s">
        <v>745</v>
      </c>
    </row>
    <row r="34" spans="1:4" x14ac:dyDescent="0.3">
      <c r="A34" s="16"/>
      <c r="B34" s="16"/>
      <c r="C34" t="s">
        <v>772</v>
      </c>
      <c r="D34" t="s">
        <v>720</v>
      </c>
    </row>
    <row r="35" spans="1:4" x14ac:dyDescent="0.3">
      <c r="A35" s="16"/>
      <c r="B35" s="16"/>
      <c r="C35" t="s">
        <v>811</v>
      </c>
      <c r="D35" t="s">
        <v>804</v>
      </c>
    </row>
    <row r="36" spans="1:4" x14ac:dyDescent="0.3">
      <c r="A36" s="16"/>
      <c r="B36" s="16"/>
      <c r="C36" t="s">
        <v>773</v>
      </c>
      <c r="D36" t="s">
        <v>718</v>
      </c>
    </row>
    <row r="37" spans="1:4" x14ac:dyDescent="0.3">
      <c r="A37" s="16"/>
      <c r="B37" s="16"/>
      <c r="C37" t="s">
        <v>827</v>
      </c>
      <c r="D37" t="s">
        <v>719</v>
      </c>
    </row>
    <row r="38" spans="1:4" x14ac:dyDescent="0.3">
      <c r="A38" s="16"/>
      <c r="B38" s="16"/>
      <c r="C38" t="s">
        <v>828</v>
      </c>
      <c r="D38" t="s">
        <v>820</v>
      </c>
    </row>
    <row r="39" spans="1:4" x14ac:dyDescent="0.3">
      <c r="A39" s="16"/>
      <c r="B39" s="16"/>
      <c r="C39" t="s">
        <v>345</v>
      </c>
      <c r="D39" t="s">
        <v>339</v>
      </c>
    </row>
    <row r="40" spans="1:4" x14ac:dyDescent="0.3">
      <c r="A40" s="16"/>
      <c r="B40" s="16"/>
      <c r="C40" t="s">
        <v>346</v>
      </c>
      <c r="D40" t="s">
        <v>340</v>
      </c>
    </row>
    <row r="41" spans="1:4" x14ac:dyDescent="0.3">
      <c r="A41" s="16"/>
      <c r="B41" s="16"/>
      <c r="C41" t="s">
        <v>347</v>
      </c>
      <c r="D41" t="s">
        <v>341</v>
      </c>
    </row>
    <row r="42" spans="1:4" x14ac:dyDescent="0.3">
      <c r="A42" s="16"/>
      <c r="B42" s="16"/>
      <c r="C42" t="s">
        <v>348</v>
      </c>
      <c r="D42" t="s">
        <v>342</v>
      </c>
    </row>
    <row r="43" spans="1:4" x14ac:dyDescent="0.3">
      <c r="A43" s="16"/>
      <c r="B43" s="16"/>
      <c r="C43" t="s">
        <v>775</v>
      </c>
      <c r="D43" t="s">
        <v>774</v>
      </c>
    </row>
    <row r="44" spans="1:4" x14ac:dyDescent="0.3">
      <c r="A44" s="16"/>
      <c r="B44" s="16"/>
      <c r="C44" t="s">
        <v>776</v>
      </c>
      <c r="D44" t="s">
        <v>727</v>
      </c>
    </row>
    <row r="45" spans="1:4" x14ac:dyDescent="0.3">
      <c r="A45" s="16"/>
      <c r="B45" s="16"/>
      <c r="C45" t="s">
        <v>777</v>
      </c>
      <c r="D45" t="s">
        <v>728</v>
      </c>
    </row>
    <row r="46" spans="1:4" x14ac:dyDescent="0.3">
      <c r="A46" s="16"/>
      <c r="B46" s="16"/>
      <c r="C46" t="s">
        <v>778</v>
      </c>
      <c r="D46" t="s">
        <v>779</v>
      </c>
    </row>
    <row r="47" spans="1:4" x14ac:dyDescent="0.3">
      <c r="A47" s="16"/>
      <c r="B47" s="16"/>
      <c r="C47" t="s">
        <v>781</v>
      </c>
      <c r="D47" t="s">
        <v>780</v>
      </c>
    </row>
    <row r="48" spans="1:4" x14ac:dyDescent="0.3">
      <c r="A48" s="16"/>
      <c r="B48" s="16"/>
      <c r="C48" t="s">
        <v>782</v>
      </c>
      <c r="D48" t="s">
        <v>732</v>
      </c>
    </row>
    <row r="49" spans="1:4" x14ac:dyDescent="0.3">
      <c r="A49" s="16"/>
      <c r="B49" s="16"/>
      <c r="C49" t="s">
        <v>783</v>
      </c>
      <c r="D49" t="s">
        <v>733</v>
      </c>
    </row>
    <row r="50" spans="1:4" x14ac:dyDescent="0.3">
      <c r="A50" s="16"/>
      <c r="B50" s="16"/>
      <c r="C50" t="s">
        <v>784</v>
      </c>
      <c r="D50" t="s">
        <v>734</v>
      </c>
    </row>
    <row r="51" spans="1:4" x14ac:dyDescent="0.3">
      <c r="A51" s="16"/>
      <c r="B51" s="16"/>
      <c r="C51" t="s">
        <v>1048</v>
      </c>
      <c r="D51" t="s">
        <v>1041</v>
      </c>
    </row>
    <row r="52" spans="1:4" x14ac:dyDescent="0.3">
      <c r="A52" s="16"/>
      <c r="B52" s="16"/>
      <c r="C52" t="s">
        <v>1068</v>
      </c>
      <c r="D52" t="s">
        <v>1040</v>
      </c>
    </row>
    <row r="53" spans="1:4" x14ac:dyDescent="0.3">
      <c r="A53" s="16"/>
      <c r="B53" s="16"/>
      <c r="C53" t="s">
        <v>1067</v>
      </c>
      <c r="D53" t="s">
        <v>1039</v>
      </c>
    </row>
    <row r="54" spans="1:4" x14ac:dyDescent="0.3">
      <c r="A54" s="16"/>
      <c r="B54" s="16"/>
      <c r="C54" t="s">
        <v>1049</v>
      </c>
      <c r="D54" t="s">
        <v>1038</v>
      </c>
    </row>
    <row r="55" spans="1:4" x14ac:dyDescent="0.3">
      <c r="A55" s="16"/>
      <c r="B55" s="16"/>
      <c r="C55" t="s">
        <v>1050</v>
      </c>
      <c r="D55" t="s">
        <v>1037</v>
      </c>
    </row>
    <row r="56" spans="1:4" x14ac:dyDescent="0.3">
      <c r="A56" s="16"/>
      <c r="B56" s="16"/>
      <c r="C56" t="s">
        <v>1051</v>
      </c>
      <c r="D56" t="s">
        <v>1036</v>
      </c>
    </row>
    <row r="57" spans="1:4" x14ac:dyDescent="0.3">
      <c r="A57" s="16"/>
      <c r="B57" s="16"/>
      <c r="C57" t="s">
        <v>1057</v>
      </c>
      <c r="D57" t="s">
        <v>1047</v>
      </c>
    </row>
    <row r="58" spans="1:4" x14ac:dyDescent="0.3">
      <c r="A58" s="16"/>
      <c r="B58" s="16"/>
      <c r="C58" t="s">
        <v>1056</v>
      </c>
      <c r="D58" t="s">
        <v>1046</v>
      </c>
    </row>
    <row r="59" spans="1:4" x14ac:dyDescent="0.3">
      <c r="A59" s="16"/>
      <c r="B59" s="16"/>
      <c r="C59" t="s">
        <v>1055</v>
      </c>
      <c r="D59" t="s">
        <v>1045</v>
      </c>
    </row>
    <row r="60" spans="1:4" x14ac:dyDescent="0.3">
      <c r="A60" s="16"/>
      <c r="B60" s="16"/>
      <c r="C60" t="s">
        <v>1054</v>
      </c>
      <c r="D60" t="s">
        <v>1044</v>
      </c>
    </row>
    <row r="61" spans="1:4" x14ac:dyDescent="0.3">
      <c r="A61" s="16"/>
      <c r="B61" s="16"/>
      <c r="C61" t="s">
        <v>1053</v>
      </c>
      <c r="D61" t="s">
        <v>1043</v>
      </c>
    </row>
    <row r="62" spans="1:4" x14ac:dyDescent="0.3">
      <c r="A62" s="16"/>
      <c r="B62" s="16"/>
      <c r="C62" t="s">
        <v>1052</v>
      </c>
      <c r="D62" t="s">
        <v>1058</v>
      </c>
    </row>
    <row r="63" spans="1:4" x14ac:dyDescent="0.3">
      <c r="A63" s="16"/>
      <c r="B63" s="16"/>
      <c r="C63" t="s">
        <v>786</v>
      </c>
      <c r="D63" t="s">
        <v>785</v>
      </c>
    </row>
    <row r="64" spans="1:4" x14ac:dyDescent="0.3">
      <c r="A64" s="16"/>
      <c r="B64" s="16"/>
      <c r="C64" t="s">
        <v>787</v>
      </c>
      <c r="D64" t="s">
        <v>737</v>
      </c>
    </row>
    <row r="65" spans="1:4" x14ac:dyDescent="0.3">
      <c r="A65" s="16"/>
      <c r="B65" s="16"/>
      <c r="C65" t="s">
        <v>788</v>
      </c>
      <c r="D65" t="s">
        <v>738</v>
      </c>
    </row>
    <row r="66" spans="1:4" x14ac:dyDescent="0.3">
      <c r="A66" s="16"/>
      <c r="B66" s="16"/>
      <c r="C66" t="s">
        <v>789</v>
      </c>
      <c r="D66" t="s">
        <v>739</v>
      </c>
    </row>
    <row r="67" spans="1:4" x14ac:dyDescent="0.3">
      <c r="A67" s="16"/>
      <c r="B67" s="16"/>
      <c r="C67" t="s">
        <v>791</v>
      </c>
      <c r="D67" t="s">
        <v>790</v>
      </c>
    </row>
    <row r="68" spans="1:4" x14ac:dyDescent="0.3">
      <c r="A68" s="16"/>
      <c r="B68" s="16"/>
      <c r="C68" t="s">
        <v>792</v>
      </c>
      <c r="D68" t="s">
        <v>742</v>
      </c>
    </row>
    <row r="69" spans="1:4" x14ac:dyDescent="0.3">
      <c r="A69" s="16"/>
      <c r="B69" s="16"/>
      <c r="C69" t="s">
        <v>793</v>
      </c>
      <c r="D69" t="s">
        <v>743</v>
      </c>
    </row>
    <row r="70" spans="1:4" x14ac:dyDescent="0.3">
      <c r="A70" s="16"/>
      <c r="B70" s="16"/>
      <c r="C70" t="s">
        <v>794</v>
      </c>
      <c r="D70" t="s">
        <v>744</v>
      </c>
    </row>
    <row r="71" spans="1:4" x14ac:dyDescent="0.3">
      <c r="A71" s="16"/>
      <c r="B71" s="16"/>
      <c r="C71" t="s">
        <v>822</v>
      </c>
      <c r="D71" t="s">
        <v>821</v>
      </c>
    </row>
    <row r="72" spans="1:4" x14ac:dyDescent="0.3">
      <c r="A72" s="16"/>
      <c r="B72" s="16"/>
      <c r="C72" t="s">
        <v>823</v>
      </c>
      <c r="D72" t="s">
        <v>747</v>
      </c>
    </row>
    <row r="73" spans="1:4" x14ac:dyDescent="0.3">
      <c r="A73" s="16"/>
      <c r="B73" s="16"/>
      <c r="C73" t="s">
        <v>824</v>
      </c>
      <c r="D73" t="s">
        <v>748</v>
      </c>
    </row>
    <row r="74" spans="1:4" x14ac:dyDescent="0.3">
      <c r="A74" s="16"/>
      <c r="B74" s="16"/>
      <c r="C74" t="s">
        <v>825</v>
      </c>
      <c r="D74" t="s">
        <v>749</v>
      </c>
    </row>
    <row r="75" spans="1:4" x14ac:dyDescent="0.3">
      <c r="A75" s="16"/>
      <c r="B75" s="16"/>
      <c r="C75" t="s">
        <v>1066</v>
      </c>
      <c r="D75" t="s">
        <v>1065</v>
      </c>
    </row>
    <row r="76" spans="1:4" x14ac:dyDescent="0.3">
      <c r="A76" s="16"/>
      <c r="B76" s="16"/>
      <c r="C76" t="s">
        <v>1064</v>
      </c>
      <c r="D76" t="s">
        <v>1063</v>
      </c>
    </row>
    <row r="77" spans="1:4" x14ac:dyDescent="0.3">
      <c r="A77" s="16"/>
      <c r="B77" s="16"/>
      <c r="C77" t="s">
        <v>1062</v>
      </c>
      <c r="D77" t="s">
        <v>1061</v>
      </c>
    </row>
    <row r="78" spans="1:4" x14ac:dyDescent="0.3">
      <c r="A78" s="16"/>
      <c r="B78" s="16"/>
      <c r="C78" t="s">
        <v>1060</v>
      </c>
      <c r="D78" t="s">
        <v>1059</v>
      </c>
    </row>
    <row r="79" spans="1:4" x14ac:dyDescent="0.3">
      <c r="A79" s="16"/>
      <c r="B79" s="16"/>
      <c r="C79" t="s">
        <v>1072</v>
      </c>
      <c r="D79" t="s">
        <v>1032</v>
      </c>
    </row>
    <row r="80" spans="1:4" x14ac:dyDescent="0.3">
      <c r="A80" s="16"/>
      <c r="B80" s="16"/>
      <c r="C80" t="s">
        <v>1071</v>
      </c>
      <c r="D80" t="s">
        <v>1033</v>
      </c>
    </row>
    <row r="81" spans="1:4" x14ac:dyDescent="0.3">
      <c r="A81" s="16"/>
      <c r="B81" s="16"/>
      <c r="C81" t="s">
        <v>1070</v>
      </c>
      <c r="D81" t="s">
        <v>1034</v>
      </c>
    </row>
    <row r="82" spans="1:4" x14ac:dyDescent="0.3">
      <c r="A82" s="16"/>
      <c r="B82" s="16"/>
      <c r="C82" t="s">
        <v>1069</v>
      </c>
      <c r="D82" t="s">
        <v>1035</v>
      </c>
    </row>
  </sheetData>
  <mergeCells count="2">
    <mergeCell ref="B1:B82"/>
    <mergeCell ref="A1:A82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9FB6-CFFF-4CFF-9313-884D8531517D}">
  <dimension ref="A1:AE9"/>
  <sheetViews>
    <sheetView zoomScale="145" zoomScaleNormal="145" workbookViewId="0">
      <selection activeCell="C16" sqref="C16"/>
    </sheetView>
  </sheetViews>
  <sheetFormatPr defaultColWidth="40.75" defaultRowHeight="14" x14ac:dyDescent="0.3"/>
  <sheetData>
    <row r="1" spans="1:31" x14ac:dyDescent="0.3">
      <c r="A1" s="16" t="s">
        <v>317</v>
      </c>
      <c r="B1" s="16" t="s">
        <v>412</v>
      </c>
      <c r="C1" s="3" t="s">
        <v>42</v>
      </c>
      <c r="D1" s="3" t="s">
        <v>420</v>
      </c>
      <c r="E1" s="3" t="s">
        <v>526</v>
      </c>
      <c r="F1" s="3" t="s">
        <v>527</v>
      </c>
      <c r="G1" s="3" t="s">
        <v>528</v>
      </c>
      <c r="H1" s="3" t="s">
        <v>587</v>
      </c>
      <c r="I1" s="3" t="s">
        <v>529</v>
      </c>
      <c r="J1" s="3" t="s">
        <v>426</v>
      </c>
      <c r="K1" s="3" t="s">
        <v>530</v>
      </c>
      <c r="L1" s="3" t="s">
        <v>531</v>
      </c>
      <c r="M1" s="2" t="s">
        <v>532</v>
      </c>
      <c r="N1" s="3" t="s">
        <v>533</v>
      </c>
      <c r="O1" s="2" t="s">
        <v>534</v>
      </c>
      <c r="P1" s="2" t="s">
        <v>535</v>
      </c>
      <c r="Q1" s="2" t="s">
        <v>536</v>
      </c>
      <c r="R1" s="2" t="s">
        <v>537</v>
      </c>
      <c r="S1" s="2" t="s">
        <v>588</v>
      </c>
      <c r="T1" s="2" t="s">
        <v>538</v>
      </c>
      <c r="U1" s="2" t="s">
        <v>539</v>
      </c>
      <c r="V1" s="2" t="s">
        <v>540</v>
      </c>
      <c r="W1" s="2" t="s">
        <v>541</v>
      </c>
      <c r="X1" s="2" t="s">
        <v>542</v>
      </c>
      <c r="Y1" s="2" t="s">
        <v>543</v>
      </c>
      <c r="Z1" s="2" t="s">
        <v>544</v>
      </c>
      <c r="AA1" s="2" t="s">
        <v>545</v>
      </c>
      <c r="AB1" s="2" t="s">
        <v>546</v>
      </c>
      <c r="AC1" s="2" t="s">
        <v>547</v>
      </c>
      <c r="AD1" s="2" t="s">
        <v>548</v>
      </c>
      <c r="AE1" s="2" t="s">
        <v>549</v>
      </c>
    </row>
    <row r="2" spans="1:31" x14ac:dyDescent="0.3">
      <c r="A2" s="16"/>
      <c r="B2" s="16"/>
      <c r="C2" t="s">
        <v>520</v>
      </c>
      <c r="D2" t="s">
        <v>10</v>
      </c>
      <c r="E2" t="s">
        <v>68</v>
      </c>
      <c r="F2" t="s">
        <v>413</v>
      </c>
      <c r="H2">
        <f>1/10</f>
        <v>0.1</v>
      </c>
      <c r="J2">
        <v>0.3</v>
      </c>
      <c r="K2" s="2" t="s">
        <v>414</v>
      </c>
      <c r="L2" t="s">
        <v>388</v>
      </c>
      <c r="M2" s="14">
        <v>3.8199999999999998E-8</v>
      </c>
      <c r="N2" s="2" t="s">
        <v>415</v>
      </c>
      <c r="O2" s="2" t="s">
        <v>416</v>
      </c>
      <c r="R2" s="2" t="s">
        <v>417</v>
      </c>
      <c r="AD2" s="2">
        <v>15.56</v>
      </c>
      <c r="AE2" s="2">
        <v>30</v>
      </c>
    </row>
    <row r="3" spans="1:31" x14ac:dyDescent="0.3">
      <c r="A3" s="16"/>
      <c r="B3" s="16"/>
      <c r="C3" t="s">
        <v>521</v>
      </c>
      <c r="D3" t="s">
        <v>411</v>
      </c>
      <c r="E3" t="s">
        <v>211</v>
      </c>
      <c r="F3" t="s">
        <v>413</v>
      </c>
      <c r="H3">
        <f>1/8</f>
        <v>0.125</v>
      </c>
      <c r="J3">
        <v>0.3</v>
      </c>
      <c r="K3" s="2" t="s">
        <v>414</v>
      </c>
      <c r="L3" t="s">
        <v>391</v>
      </c>
      <c r="M3" s="14">
        <v>3.8199999999999998E-8</v>
      </c>
      <c r="N3" s="2" t="s">
        <v>415</v>
      </c>
      <c r="O3" s="2" t="s">
        <v>418</v>
      </c>
      <c r="R3" s="2" t="s">
        <v>417</v>
      </c>
      <c r="AD3" s="2">
        <v>15.56</v>
      </c>
      <c r="AE3" s="2">
        <v>30</v>
      </c>
    </row>
    <row r="4" spans="1:31" x14ac:dyDescent="0.3">
      <c r="A4" s="16"/>
      <c r="B4" s="16"/>
      <c r="C4" t="s">
        <v>522</v>
      </c>
      <c r="D4" t="s">
        <v>300</v>
      </c>
      <c r="E4" t="s">
        <v>217</v>
      </c>
      <c r="F4" t="s">
        <v>413</v>
      </c>
      <c r="H4">
        <v>0.04</v>
      </c>
      <c r="J4">
        <v>0.3</v>
      </c>
      <c r="K4" s="2" t="s">
        <v>414</v>
      </c>
      <c r="L4" t="s">
        <v>393</v>
      </c>
      <c r="M4" s="14">
        <v>3.8199999999999998E-8</v>
      </c>
      <c r="N4" s="2" t="s">
        <v>415</v>
      </c>
      <c r="O4" s="2" t="s">
        <v>418</v>
      </c>
      <c r="R4" s="2" t="s">
        <v>417</v>
      </c>
      <c r="AD4" s="2">
        <v>15.56</v>
      </c>
      <c r="AE4" s="2">
        <v>30</v>
      </c>
    </row>
    <row r="5" spans="1:31" x14ac:dyDescent="0.3">
      <c r="A5" s="16"/>
      <c r="B5" s="16"/>
      <c r="C5" t="s">
        <v>523</v>
      </c>
      <c r="D5" t="s">
        <v>100</v>
      </c>
      <c r="E5" t="s">
        <v>223</v>
      </c>
      <c r="F5" t="s">
        <v>413</v>
      </c>
      <c r="H5">
        <f>1/6</f>
        <v>0.16666666666666666</v>
      </c>
      <c r="J5">
        <v>0.3</v>
      </c>
      <c r="K5" s="2" t="s">
        <v>414</v>
      </c>
      <c r="L5" t="s">
        <v>394</v>
      </c>
      <c r="M5" s="14">
        <v>3.8199999999999998E-8</v>
      </c>
      <c r="N5" s="2" t="s">
        <v>415</v>
      </c>
      <c r="O5" s="2" t="s">
        <v>418</v>
      </c>
      <c r="R5" s="2" t="s">
        <v>417</v>
      </c>
      <c r="AD5" s="2">
        <v>15.56</v>
      </c>
      <c r="AE5" s="2">
        <v>30</v>
      </c>
    </row>
    <row r="6" spans="1:31" x14ac:dyDescent="0.3">
      <c r="A6" s="16"/>
      <c r="B6" s="16"/>
      <c r="C6" t="s">
        <v>524</v>
      </c>
      <c r="D6" t="s">
        <v>114</v>
      </c>
      <c r="E6" t="s">
        <v>230</v>
      </c>
      <c r="F6" t="s">
        <v>413</v>
      </c>
      <c r="H6">
        <f>1/25</f>
        <v>0.04</v>
      </c>
      <c r="J6">
        <v>0.3</v>
      </c>
      <c r="K6" s="2" t="s">
        <v>414</v>
      </c>
      <c r="L6" t="s">
        <v>395</v>
      </c>
      <c r="M6" s="14">
        <v>3.8199999999999998E-8</v>
      </c>
      <c r="N6" s="2" t="s">
        <v>415</v>
      </c>
      <c r="O6" s="2" t="s">
        <v>418</v>
      </c>
      <c r="R6" s="2" t="s">
        <v>417</v>
      </c>
      <c r="AD6" s="2">
        <v>15.56</v>
      </c>
      <c r="AE6" s="2">
        <v>30</v>
      </c>
    </row>
    <row r="7" spans="1:31" x14ac:dyDescent="0.3">
      <c r="A7" s="16"/>
      <c r="B7" s="16"/>
      <c r="C7" t="s">
        <v>525</v>
      </c>
      <c r="D7" t="s">
        <v>302</v>
      </c>
      <c r="E7" t="s">
        <v>238</v>
      </c>
      <c r="F7" t="s">
        <v>413</v>
      </c>
      <c r="H7">
        <v>0.1</v>
      </c>
      <c r="J7">
        <v>0.3</v>
      </c>
      <c r="K7" s="2" t="s">
        <v>414</v>
      </c>
      <c r="L7" t="s">
        <v>396</v>
      </c>
      <c r="M7" s="14">
        <v>3.8199999999999998E-8</v>
      </c>
      <c r="N7" s="2" t="s">
        <v>415</v>
      </c>
      <c r="O7" s="2" t="s">
        <v>418</v>
      </c>
      <c r="R7" s="2" t="s">
        <v>417</v>
      </c>
      <c r="AD7" s="2">
        <v>15.56</v>
      </c>
      <c r="AE7" s="2">
        <v>30</v>
      </c>
    </row>
    <row r="8" spans="1:31" x14ac:dyDescent="0.3">
      <c r="A8" s="16"/>
      <c r="B8" s="16"/>
      <c r="C8" t="s">
        <v>920</v>
      </c>
      <c r="D8" t="s">
        <v>915</v>
      </c>
      <c r="E8" t="s">
        <v>925</v>
      </c>
      <c r="F8" t="s">
        <v>413</v>
      </c>
      <c r="H8">
        <v>0.5</v>
      </c>
      <c r="J8">
        <v>0.3</v>
      </c>
      <c r="K8" s="2" t="s">
        <v>414</v>
      </c>
      <c r="L8" t="s">
        <v>927</v>
      </c>
      <c r="M8" s="14">
        <v>3.8199999999999998E-8</v>
      </c>
      <c r="N8" s="2" t="s">
        <v>415</v>
      </c>
      <c r="O8" s="2" t="s">
        <v>418</v>
      </c>
      <c r="R8" s="2" t="s">
        <v>417</v>
      </c>
      <c r="AD8" s="2">
        <v>15.56</v>
      </c>
      <c r="AE8" s="2">
        <v>30</v>
      </c>
    </row>
    <row r="9" spans="1:31" x14ac:dyDescent="0.3">
      <c r="A9" s="16"/>
      <c r="B9" s="16"/>
      <c r="C9" t="s">
        <v>921</v>
      </c>
      <c r="D9" t="s">
        <v>916</v>
      </c>
      <c r="E9" t="s">
        <v>923</v>
      </c>
      <c r="F9" t="s">
        <v>413</v>
      </c>
      <c r="H9">
        <v>0.125</v>
      </c>
      <c r="J9">
        <v>0.3</v>
      </c>
      <c r="K9" s="2" t="s">
        <v>414</v>
      </c>
      <c r="L9" t="s">
        <v>929</v>
      </c>
      <c r="M9" s="14">
        <v>3.8199999999999998E-8</v>
      </c>
      <c r="N9" s="2" t="s">
        <v>415</v>
      </c>
      <c r="O9" s="2" t="s">
        <v>418</v>
      </c>
      <c r="R9" s="2" t="s">
        <v>417</v>
      </c>
      <c r="AD9" s="2">
        <v>15.56</v>
      </c>
      <c r="AE9" s="2">
        <v>30</v>
      </c>
    </row>
  </sheetData>
  <mergeCells count="2">
    <mergeCell ref="B1:B9"/>
    <mergeCell ref="A1:A9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C027-AF67-48F5-B5A9-BC70B362D243}">
  <dimension ref="A1:Q9"/>
  <sheetViews>
    <sheetView zoomScale="130" zoomScaleNormal="130" workbookViewId="0">
      <selection activeCell="D13" sqref="D13"/>
    </sheetView>
  </sheetViews>
  <sheetFormatPr defaultRowHeight="14" x14ac:dyDescent="0.3"/>
  <cols>
    <col min="1" max="1" width="3.6640625" bestFit="1" customWidth="1"/>
    <col min="2" max="2" width="7.58203125" bestFit="1" customWidth="1"/>
    <col min="3" max="3" width="20.33203125" bestFit="1" customWidth="1"/>
    <col min="4" max="4" width="44.75" bestFit="1" customWidth="1"/>
    <col min="5" max="5" width="36.75" bestFit="1" customWidth="1"/>
    <col min="6" max="6" width="32" bestFit="1" customWidth="1"/>
    <col min="7" max="7" width="13.75" bestFit="1" customWidth="1"/>
    <col min="8" max="8" width="26.33203125" bestFit="1" customWidth="1"/>
    <col min="9" max="9" width="17.25" bestFit="1" customWidth="1"/>
    <col min="10" max="10" width="18.75" bestFit="1" customWidth="1"/>
    <col min="11" max="11" width="16.25" bestFit="1" customWidth="1"/>
    <col min="12" max="12" width="15.08203125" bestFit="1" customWidth="1"/>
    <col min="13" max="13" width="20.25" bestFit="1" customWidth="1"/>
    <col min="14" max="14" width="20.08203125" bestFit="1" customWidth="1"/>
    <col min="15" max="15" width="55.33203125" bestFit="1" customWidth="1"/>
    <col min="16" max="17" width="63.9140625" bestFit="1" customWidth="1"/>
  </cols>
  <sheetData>
    <row r="1" spans="1:17" x14ac:dyDescent="0.3">
      <c r="A1" s="16" t="s">
        <v>317</v>
      </c>
      <c r="B1" s="16" t="s">
        <v>419</v>
      </c>
      <c r="C1" t="s">
        <v>0</v>
      </c>
      <c r="D1" t="s">
        <v>420</v>
      </c>
      <c r="E1" t="s">
        <v>421</v>
      </c>
      <c r="F1" t="s">
        <v>422</v>
      </c>
      <c r="G1" t="s">
        <v>423</v>
      </c>
      <c r="H1" t="s">
        <v>936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</row>
    <row r="2" spans="1:17" x14ac:dyDescent="0.3">
      <c r="A2" s="16"/>
      <c r="B2" s="16"/>
      <c r="C2" t="s">
        <v>433</v>
      </c>
      <c r="D2" t="s">
        <v>10</v>
      </c>
      <c r="E2" s="2" t="s">
        <v>66</v>
      </c>
      <c r="F2" t="s">
        <v>434</v>
      </c>
      <c r="H2">
        <v>8</v>
      </c>
      <c r="K2">
        <v>0.32</v>
      </c>
      <c r="L2">
        <v>0.25</v>
      </c>
      <c r="M2">
        <v>1</v>
      </c>
      <c r="N2" t="s">
        <v>435</v>
      </c>
      <c r="O2" t="s">
        <v>436</v>
      </c>
    </row>
    <row r="3" spans="1:17" x14ac:dyDescent="0.3">
      <c r="A3" s="16"/>
      <c r="B3" s="16"/>
      <c r="C3" t="s">
        <v>437</v>
      </c>
      <c r="D3" t="s">
        <v>411</v>
      </c>
      <c r="E3" s="2" t="s">
        <v>209</v>
      </c>
      <c r="F3" t="s">
        <v>434</v>
      </c>
      <c r="H3">
        <v>10</v>
      </c>
      <c r="K3">
        <v>0.32</v>
      </c>
      <c r="L3">
        <v>0.25</v>
      </c>
      <c r="M3">
        <v>1</v>
      </c>
      <c r="N3" t="s">
        <v>435</v>
      </c>
      <c r="O3" t="s">
        <v>436</v>
      </c>
    </row>
    <row r="4" spans="1:17" x14ac:dyDescent="0.3">
      <c r="A4" s="16"/>
      <c r="B4" s="16"/>
      <c r="C4" t="s">
        <v>438</v>
      </c>
      <c r="D4" t="s">
        <v>300</v>
      </c>
      <c r="E4" s="2" t="s">
        <v>215</v>
      </c>
      <c r="F4" t="s">
        <v>434</v>
      </c>
      <c r="H4">
        <v>5</v>
      </c>
      <c r="K4">
        <v>0.32</v>
      </c>
      <c r="L4">
        <v>0.25</v>
      </c>
      <c r="M4">
        <v>1</v>
      </c>
      <c r="N4" t="s">
        <v>435</v>
      </c>
      <c r="O4" t="s">
        <v>436</v>
      </c>
    </row>
    <row r="5" spans="1:17" x14ac:dyDescent="0.3">
      <c r="A5" s="16"/>
      <c r="B5" s="16"/>
      <c r="C5" t="s">
        <v>439</v>
      </c>
      <c r="D5" t="s">
        <v>100</v>
      </c>
      <c r="E5" s="2" t="s">
        <v>221</v>
      </c>
      <c r="F5" t="s">
        <v>434</v>
      </c>
      <c r="H5">
        <v>8</v>
      </c>
      <c r="K5">
        <v>0.32</v>
      </c>
      <c r="L5">
        <v>0.25</v>
      </c>
      <c r="M5">
        <v>1</v>
      </c>
      <c r="N5" t="s">
        <v>435</v>
      </c>
      <c r="O5" t="s">
        <v>436</v>
      </c>
    </row>
    <row r="6" spans="1:17" x14ac:dyDescent="0.3">
      <c r="A6" s="16"/>
      <c r="B6" s="16"/>
      <c r="C6" t="s">
        <v>440</v>
      </c>
      <c r="D6" t="s">
        <v>114</v>
      </c>
      <c r="E6" s="2" t="s">
        <v>228</v>
      </c>
      <c r="F6" t="s">
        <v>434</v>
      </c>
      <c r="H6">
        <v>6</v>
      </c>
      <c r="K6">
        <v>0.32</v>
      </c>
      <c r="L6">
        <v>0.25</v>
      </c>
      <c r="M6">
        <v>1</v>
      </c>
      <c r="N6" t="s">
        <v>435</v>
      </c>
      <c r="O6" t="s">
        <v>436</v>
      </c>
    </row>
    <row r="7" spans="1:17" x14ac:dyDescent="0.3">
      <c r="A7" s="16"/>
      <c r="B7" s="16"/>
      <c r="C7" t="s">
        <v>441</v>
      </c>
      <c r="D7" t="s">
        <v>302</v>
      </c>
      <c r="E7" s="2" t="s">
        <v>236</v>
      </c>
      <c r="F7" t="s">
        <v>434</v>
      </c>
      <c r="H7">
        <v>6</v>
      </c>
      <c r="K7">
        <v>0.32</v>
      </c>
      <c r="L7">
        <v>0.25</v>
      </c>
      <c r="M7">
        <v>1</v>
      </c>
      <c r="N7" t="s">
        <v>435</v>
      </c>
      <c r="O7" t="s">
        <v>436</v>
      </c>
    </row>
    <row r="8" spans="1:17" x14ac:dyDescent="0.3">
      <c r="A8" s="16"/>
      <c r="B8" s="16"/>
      <c r="C8" t="s">
        <v>930</v>
      </c>
      <c r="D8" t="s">
        <v>915</v>
      </c>
      <c r="E8" s="2" t="s">
        <v>933</v>
      </c>
      <c r="F8" t="s">
        <v>434</v>
      </c>
      <c r="H8">
        <v>10</v>
      </c>
      <c r="K8">
        <v>0.32</v>
      </c>
      <c r="L8">
        <v>0.25</v>
      </c>
      <c r="M8">
        <v>1</v>
      </c>
      <c r="N8" t="s">
        <v>435</v>
      </c>
      <c r="O8" t="s">
        <v>436</v>
      </c>
    </row>
    <row r="9" spans="1:17" x14ac:dyDescent="0.3">
      <c r="A9" s="16"/>
      <c r="B9" s="16"/>
      <c r="C9" t="s">
        <v>931</v>
      </c>
      <c r="D9" t="s">
        <v>916</v>
      </c>
      <c r="E9" s="2" t="s">
        <v>935</v>
      </c>
      <c r="F9" t="s">
        <v>434</v>
      </c>
      <c r="H9">
        <v>8</v>
      </c>
      <c r="K9">
        <v>0.32</v>
      </c>
      <c r="L9">
        <v>0.25</v>
      </c>
      <c r="M9">
        <v>1</v>
      </c>
      <c r="N9" t="s">
        <v>435</v>
      </c>
      <c r="O9" t="s">
        <v>436</v>
      </c>
    </row>
  </sheetData>
  <mergeCells count="2">
    <mergeCell ref="B1:B9"/>
    <mergeCell ref="A1:A9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930F-E716-488B-A877-5AA46AEA18D5}">
  <dimension ref="A1:M9"/>
  <sheetViews>
    <sheetView zoomScaleNormal="100" workbookViewId="0">
      <selection activeCell="E23" sqref="E23"/>
    </sheetView>
  </sheetViews>
  <sheetFormatPr defaultRowHeight="14" x14ac:dyDescent="0.3"/>
  <cols>
    <col min="1" max="1" width="3.6640625" bestFit="1" customWidth="1"/>
    <col min="2" max="2" width="33.25" customWidth="1"/>
    <col min="3" max="3" width="38.6640625" customWidth="1"/>
    <col min="4" max="4" width="43" bestFit="1" customWidth="1"/>
    <col min="5" max="5" width="45.75" customWidth="1"/>
    <col min="6" max="6" width="31.33203125" bestFit="1" customWidth="1"/>
    <col min="7" max="7" width="12.33203125" bestFit="1" customWidth="1"/>
    <col min="8" max="8" width="25.33203125" bestFit="1" customWidth="1"/>
    <col min="9" max="9" width="16.6640625" bestFit="1" customWidth="1"/>
    <col min="10" max="10" width="14.75" bestFit="1" customWidth="1"/>
    <col min="11" max="11" width="16" bestFit="1" customWidth="1"/>
    <col min="12" max="12" width="12.6640625" bestFit="1" customWidth="1"/>
    <col min="13" max="13" width="19.9140625" bestFit="1" customWidth="1"/>
  </cols>
  <sheetData>
    <row r="1" spans="1:13" x14ac:dyDescent="0.3">
      <c r="A1" s="16" t="s">
        <v>317</v>
      </c>
      <c r="B1" s="21" t="s">
        <v>442</v>
      </c>
      <c r="C1" s="2" t="s">
        <v>0</v>
      </c>
      <c r="D1" s="2" t="s">
        <v>420</v>
      </c>
      <c r="E1" s="2" t="s">
        <v>421</v>
      </c>
      <c r="F1" s="2" t="s">
        <v>422</v>
      </c>
      <c r="G1" s="2" t="s">
        <v>550</v>
      </c>
      <c r="H1" s="2" t="s">
        <v>936</v>
      </c>
      <c r="I1" s="2" t="s">
        <v>424</v>
      </c>
      <c r="J1" s="2" t="s">
        <v>551</v>
      </c>
      <c r="K1" s="2" t="s">
        <v>426</v>
      </c>
      <c r="L1" s="2" t="s">
        <v>552</v>
      </c>
      <c r="M1" s="2" t="s">
        <v>429</v>
      </c>
    </row>
    <row r="2" spans="1:13" x14ac:dyDescent="0.3">
      <c r="A2" s="16"/>
      <c r="B2" s="21"/>
      <c r="C2" t="s">
        <v>443</v>
      </c>
      <c r="D2" t="s">
        <v>10</v>
      </c>
      <c r="E2" t="s">
        <v>67</v>
      </c>
      <c r="F2" s="2" t="s">
        <v>444</v>
      </c>
      <c r="H2">
        <v>15</v>
      </c>
      <c r="L2">
        <v>0</v>
      </c>
      <c r="M2" s="2" t="s">
        <v>445</v>
      </c>
    </row>
    <row r="3" spans="1:13" x14ac:dyDescent="0.3">
      <c r="A3" s="16"/>
      <c r="B3" s="21"/>
      <c r="C3" t="s">
        <v>446</v>
      </c>
      <c r="D3" t="s">
        <v>411</v>
      </c>
      <c r="E3" t="s">
        <v>210</v>
      </c>
      <c r="F3" s="2" t="s">
        <v>444</v>
      </c>
      <c r="H3">
        <v>13</v>
      </c>
      <c r="L3">
        <v>0</v>
      </c>
      <c r="M3" s="2" t="s">
        <v>445</v>
      </c>
    </row>
    <row r="4" spans="1:13" x14ac:dyDescent="0.3">
      <c r="A4" s="16"/>
      <c r="B4" s="21"/>
      <c r="C4" t="s">
        <v>447</v>
      </c>
      <c r="D4" t="s">
        <v>300</v>
      </c>
      <c r="E4" t="s">
        <v>216</v>
      </c>
      <c r="F4" s="2" t="s">
        <v>444</v>
      </c>
      <c r="H4">
        <v>3.8</v>
      </c>
      <c r="L4">
        <v>0</v>
      </c>
      <c r="M4" s="2" t="s">
        <v>445</v>
      </c>
    </row>
    <row r="5" spans="1:13" x14ac:dyDescent="0.3">
      <c r="A5" s="16"/>
      <c r="B5" s="21"/>
      <c r="C5" t="s">
        <v>448</v>
      </c>
      <c r="D5" t="s">
        <v>100</v>
      </c>
      <c r="E5" t="s">
        <v>222</v>
      </c>
      <c r="F5" s="2" t="s">
        <v>444</v>
      </c>
      <c r="H5">
        <v>5</v>
      </c>
      <c r="L5">
        <v>0</v>
      </c>
      <c r="M5" s="2" t="s">
        <v>445</v>
      </c>
    </row>
    <row r="6" spans="1:13" x14ac:dyDescent="0.3">
      <c r="A6" s="16"/>
      <c r="B6" s="21"/>
      <c r="C6" t="s">
        <v>449</v>
      </c>
      <c r="D6" t="s">
        <v>114</v>
      </c>
      <c r="E6" t="s">
        <v>229</v>
      </c>
      <c r="F6" s="2" t="s">
        <v>444</v>
      </c>
      <c r="H6">
        <v>15</v>
      </c>
      <c r="L6">
        <v>0</v>
      </c>
      <c r="M6" s="2" t="s">
        <v>445</v>
      </c>
    </row>
    <row r="7" spans="1:13" x14ac:dyDescent="0.3">
      <c r="A7" s="16"/>
      <c r="B7" s="21"/>
      <c r="C7" t="s">
        <v>937</v>
      </c>
      <c r="D7" t="s">
        <v>302</v>
      </c>
      <c r="E7" t="s">
        <v>237</v>
      </c>
      <c r="F7" s="2" t="s">
        <v>444</v>
      </c>
      <c r="H7">
        <v>15</v>
      </c>
      <c r="L7">
        <v>0</v>
      </c>
      <c r="M7" s="2" t="s">
        <v>445</v>
      </c>
    </row>
    <row r="8" spans="1:13" x14ac:dyDescent="0.3">
      <c r="A8" s="16"/>
      <c r="B8" s="21"/>
      <c r="C8" t="s">
        <v>938</v>
      </c>
      <c r="D8" t="s">
        <v>915</v>
      </c>
      <c r="E8" t="s">
        <v>940</v>
      </c>
      <c r="F8" s="2" t="s">
        <v>444</v>
      </c>
      <c r="H8">
        <v>15</v>
      </c>
      <c r="L8">
        <v>0</v>
      </c>
      <c r="M8" s="2" t="s">
        <v>445</v>
      </c>
    </row>
    <row r="9" spans="1:13" x14ac:dyDescent="0.3">
      <c r="A9" s="16"/>
      <c r="B9" s="21"/>
      <c r="C9" t="s">
        <v>941</v>
      </c>
      <c r="D9" t="s">
        <v>916</v>
      </c>
      <c r="E9" t="s">
        <v>943</v>
      </c>
      <c r="F9" s="2" t="s">
        <v>444</v>
      </c>
      <c r="H9">
        <v>15</v>
      </c>
      <c r="L9">
        <v>0</v>
      </c>
      <c r="M9" s="2" t="s">
        <v>445</v>
      </c>
    </row>
  </sheetData>
  <mergeCells count="2">
    <mergeCell ref="B1:B9"/>
    <mergeCell ref="A1:A9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835F-0436-4B51-AA1B-80118930A535}">
  <dimension ref="A1:E9"/>
  <sheetViews>
    <sheetView zoomScale="130" zoomScaleNormal="130" workbookViewId="0">
      <selection activeCell="D14" sqref="D14"/>
    </sheetView>
  </sheetViews>
  <sheetFormatPr defaultRowHeight="14" x14ac:dyDescent="0.3"/>
  <cols>
    <col min="1" max="1" width="3.6640625" bestFit="1" customWidth="1"/>
    <col min="2" max="2" width="38.4140625" bestFit="1" customWidth="1"/>
    <col min="3" max="3" width="29.9140625" customWidth="1"/>
    <col min="4" max="4" width="37.75" bestFit="1" customWidth="1"/>
    <col min="5" max="5" width="37.6640625" bestFit="1" customWidth="1"/>
  </cols>
  <sheetData>
    <row r="1" spans="1:5" x14ac:dyDescent="0.3">
      <c r="A1" s="16" t="s">
        <v>317</v>
      </c>
      <c r="B1" s="16" t="s">
        <v>320</v>
      </c>
      <c r="C1" s="3" t="s">
        <v>42</v>
      </c>
      <c r="D1" s="3" t="s">
        <v>553</v>
      </c>
      <c r="E1" s="3" t="s">
        <v>554</v>
      </c>
    </row>
    <row r="2" spans="1:5" x14ac:dyDescent="0.3">
      <c r="A2" s="16"/>
      <c r="B2" s="16"/>
      <c r="C2" t="s">
        <v>450</v>
      </c>
      <c r="D2" s="2" t="s">
        <v>64</v>
      </c>
      <c r="E2" s="2" t="s">
        <v>65</v>
      </c>
    </row>
    <row r="3" spans="1:5" x14ac:dyDescent="0.3">
      <c r="A3" s="16"/>
      <c r="B3" s="16"/>
      <c r="C3" t="s">
        <v>451</v>
      </c>
      <c r="D3" s="2" t="s">
        <v>208</v>
      </c>
      <c r="E3" s="2" t="s">
        <v>241</v>
      </c>
    </row>
    <row r="4" spans="1:5" x14ac:dyDescent="0.3">
      <c r="A4" s="16"/>
      <c r="B4" s="16"/>
      <c r="C4" t="s">
        <v>452</v>
      </c>
      <c r="D4" s="2" t="s">
        <v>213</v>
      </c>
      <c r="E4" s="2" t="s">
        <v>214</v>
      </c>
    </row>
    <row r="5" spans="1:5" x14ac:dyDescent="0.3">
      <c r="A5" s="16"/>
      <c r="B5" s="16"/>
      <c r="C5" t="s">
        <v>453</v>
      </c>
      <c r="D5" s="2" t="s">
        <v>219</v>
      </c>
      <c r="E5" s="2" t="s">
        <v>220</v>
      </c>
    </row>
    <row r="6" spans="1:5" x14ac:dyDescent="0.3">
      <c r="A6" s="16"/>
      <c r="B6" s="16"/>
      <c r="C6" t="s">
        <v>454</v>
      </c>
      <c r="D6" s="2" t="s">
        <v>226</v>
      </c>
      <c r="E6" s="2" t="s">
        <v>227</v>
      </c>
    </row>
    <row r="7" spans="1:5" x14ac:dyDescent="0.3">
      <c r="A7" s="16"/>
      <c r="B7" s="16"/>
      <c r="C7" t="s">
        <v>944</v>
      </c>
      <c r="D7" s="2" t="s">
        <v>234</v>
      </c>
      <c r="E7" s="2" t="s">
        <v>235</v>
      </c>
    </row>
    <row r="8" spans="1:5" x14ac:dyDescent="0.3">
      <c r="A8" s="16"/>
      <c r="B8" s="16"/>
      <c r="C8" t="s">
        <v>945</v>
      </c>
      <c r="D8" s="2" t="s">
        <v>948</v>
      </c>
      <c r="E8" s="2" t="s">
        <v>950</v>
      </c>
    </row>
    <row r="9" spans="1:5" x14ac:dyDescent="0.3">
      <c r="A9" s="16"/>
      <c r="B9" s="16"/>
      <c r="C9" t="s">
        <v>946</v>
      </c>
      <c r="D9" s="2" t="s">
        <v>952</v>
      </c>
      <c r="E9" s="2" t="s">
        <v>954</v>
      </c>
    </row>
  </sheetData>
  <mergeCells count="2">
    <mergeCell ref="B1:B9"/>
    <mergeCell ref="A1:A9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0475-0DB9-4246-8E77-B151A959B040}">
  <dimension ref="A1:N9"/>
  <sheetViews>
    <sheetView zoomScale="145" zoomScaleNormal="145" workbookViewId="0">
      <selection activeCell="C8" sqref="C8:C9"/>
    </sheetView>
  </sheetViews>
  <sheetFormatPr defaultColWidth="30.75" defaultRowHeight="14" x14ac:dyDescent="0.3"/>
  <cols>
    <col min="1" max="1" width="3.6640625" bestFit="1" customWidth="1"/>
    <col min="2" max="2" width="30" bestFit="1" customWidth="1"/>
    <col min="3" max="3" width="27.08203125" bestFit="1" customWidth="1"/>
    <col min="4" max="4" width="22.6640625" bestFit="1" customWidth="1"/>
    <col min="5" max="5" width="27.9140625" bestFit="1" customWidth="1"/>
    <col min="6" max="6" width="31.6640625" bestFit="1" customWidth="1"/>
    <col min="7" max="7" width="15.58203125" bestFit="1" customWidth="1"/>
    <col min="8" max="8" width="21.25" bestFit="1" customWidth="1"/>
    <col min="9" max="9" width="15.58203125" bestFit="1" customWidth="1"/>
    <col min="10" max="10" width="21.25" bestFit="1" customWidth="1"/>
    <col min="11" max="11" width="15.58203125" bestFit="1" customWidth="1"/>
    <col min="12" max="12" width="21.25" bestFit="1" customWidth="1"/>
    <col min="13" max="13" width="15.58203125" bestFit="1" customWidth="1"/>
    <col min="14" max="14" width="51.25" bestFit="1" customWidth="1"/>
  </cols>
  <sheetData>
    <row r="1" spans="1:14" x14ac:dyDescent="0.3">
      <c r="A1" s="16" t="s">
        <v>317</v>
      </c>
      <c r="B1" s="16" t="s">
        <v>519</v>
      </c>
      <c r="C1" s="2" t="s">
        <v>42</v>
      </c>
      <c r="D1" s="2" t="s">
        <v>555</v>
      </c>
      <c r="E1" s="2" t="s">
        <v>556</v>
      </c>
      <c r="F1" s="2" t="s">
        <v>557</v>
      </c>
      <c r="G1" s="2" t="s">
        <v>558</v>
      </c>
      <c r="H1" s="2" t="s">
        <v>559</v>
      </c>
      <c r="I1" s="2" t="s">
        <v>560</v>
      </c>
      <c r="J1" s="2" t="s">
        <v>561</v>
      </c>
      <c r="K1" s="12" t="s">
        <v>562</v>
      </c>
      <c r="L1" s="2" t="s">
        <v>563</v>
      </c>
      <c r="M1" s="2" t="s">
        <v>564</v>
      </c>
      <c r="N1" s="2" t="s">
        <v>565</v>
      </c>
    </row>
    <row r="2" spans="1:14" x14ac:dyDescent="0.3">
      <c r="A2" s="16"/>
      <c r="B2" s="16"/>
      <c r="C2" t="s">
        <v>456</v>
      </c>
      <c r="D2" t="s">
        <v>10</v>
      </c>
      <c r="E2" t="s">
        <v>450</v>
      </c>
      <c r="F2" t="s">
        <v>457</v>
      </c>
      <c r="N2">
        <v>0</v>
      </c>
    </row>
    <row r="3" spans="1:14" x14ac:dyDescent="0.3">
      <c r="A3" s="16"/>
      <c r="B3" s="16"/>
      <c r="C3" t="s">
        <v>458</v>
      </c>
      <c r="D3" t="s">
        <v>411</v>
      </c>
      <c r="E3" t="s">
        <v>451</v>
      </c>
      <c r="F3" t="s">
        <v>457</v>
      </c>
      <c r="N3">
        <v>0</v>
      </c>
    </row>
    <row r="4" spans="1:14" x14ac:dyDescent="0.3">
      <c r="A4" s="16"/>
      <c r="B4" s="16"/>
      <c r="C4" t="s">
        <v>459</v>
      </c>
      <c r="D4" t="s">
        <v>300</v>
      </c>
      <c r="E4" t="s">
        <v>452</v>
      </c>
      <c r="F4" t="s">
        <v>457</v>
      </c>
      <c r="N4">
        <v>0</v>
      </c>
    </row>
    <row r="5" spans="1:14" x14ac:dyDescent="0.3">
      <c r="A5" s="16"/>
      <c r="B5" s="16"/>
      <c r="C5" t="s">
        <v>460</v>
      </c>
      <c r="D5" t="s">
        <v>100</v>
      </c>
      <c r="E5" t="s">
        <v>453</v>
      </c>
      <c r="F5" t="s">
        <v>457</v>
      </c>
      <c r="N5">
        <v>0</v>
      </c>
    </row>
    <row r="6" spans="1:14" x14ac:dyDescent="0.3">
      <c r="A6" s="16"/>
      <c r="B6" s="16"/>
      <c r="C6" t="s">
        <v>461</v>
      </c>
      <c r="D6" t="s">
        <v>114</v>
      </c>
      <c r="E6" t="s">
        <v>454</v>
      </c>
      <c r="F6" t="s">
        <v>457</v>
      </c>
      <c r="N6">
        <v>0</v>
      </c>
    </row>
    <row r="7" spans="1:14" x14ac:dyDescent="0.3">
      <c r="A7" s="16"/>
      <c r="B7" s="16"/>
      <c r="C7" t="s">
        <v>462</v>
      </c>
      <c r="D7" t="s">
        <v>302</v>
      </c>
      <c r="E7" t="s">
        <v>455</v>
      </c>
      <c r="F7" t="s">
        <v>457</v>
      </c>
      <c r="N7">
        <v>0</v>
      </c>
    </row>
    <row r="8" spans="1:14" x14ac:dyDescent="0.3">
      <c r="A8" s="16"/>
      <c r="B8" s="16"/>
      <c r="C8" t="s">
        <v>955</v>
      </c>
      <c r="D8" t="s">
        <v>915</v>
      </c>
      <c r="E8" t="s">
        <v>945</v>
      </c>
      <c r="F8" t="s">
        <v>457</v>
      </c>
      <c r="N8">
        <v>0</v>
      </c>
    </row>
    <row r="9" spans="1:14" x14ac:dyDescent="0.3">
      <c r="A9" s="16"/>
      <c r="B9" s="16"/>
      <c r="C9" t="s">
        <v>956</v>
      </c>
      <c r="D9" t="s">
        <v>916</v>
      </c>
      <c r="E9" t="s">
        <v>946</v>
      </c>
      <c r="F9" t="s">
        <v>457</v>
      </c>
      <c r="N9">
        <v>0</v>
      </c>
    </row>
  </sheetData>
  <mergeCells count="2">
    <mergeCell ref="B1:B9"/>
    <mergeCell ref="A1:A9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77D2-F24D-4792-87C6-A4CC34C399B8}">
  <dimension ref="A1:G9"/>
  <sheetViews>
    <sheetView zoomScale="130" zoomScaleNormal="130" workbookViewId="0">
      <selection activeCell="C8" sqref="C8:C9"/>
    </sheetView>
  </sheetViews>
  <sheetFormatPr defaultRowHeight="14" x14ac:dyDescent="0.3"/>
  <cols>
    <col min="1" max="1" width="3.6640625" bestFit="1" customWidth="1"/>
    <col min="2" max="2" width="29.75" bestFit="1" customWidth="1"/>
    <col min="3" max="3" width="26.33203125" customWidth="1"/>
    <col min="4" max="4" width="36.75" bestFit="1" customWidth="1"/>
    <col min="5" max="5" width="29.33203125" bestFit="1" customWidth="1"/>
    <col min="6" max="6" width="36.58203125" bestFit="1" customWidth="1"/>
    <col min="7" max="7" width="29.25" bestFit="1" customWidth="1"/>
  </cols>
  <sheetData>
    <row r="1" spans="1:7" x14ac:dyDescent="0.3">
      <c r="A1" s="16" t="s">
        <v>317</v>
      </c>
      <c r="B1" s="16" t="s">
        <v>614</v>
      </c>
      <c r="C1" t="s">
        <v>42</v>
      </c>
      <c r="D1" t="s">
        <v>621</v>
      </c>
      <c r="E1" t="s">
        <v>622</v>
      </c>
      <c r="F1" t="s">
        <v>623</v>
      </c>
      <c r="G1" t="s">
        <v>624</v>
      </c>
    </row>
    <row r="2" spans="1:7" x14ac:dyDescent="0.3">
      <c r="A2" s="16"/>
      <c r="B2" s="16"/>
      <c r="C2" t="s">
        <v>615</v>
      </c>
      <c r="D2" s="2" t="s">
        <v>64</v>
      </c>
      <c r="F2" s="2" t="s">
        <v>65</v>
      </c>
    </row>
    <row r="3" spans="1:7" x14ac:dyDescent="0.3">
      <c r="A3" s="16"/>
      <c r="B3" s="16"/>
      <c r="C3" t="s">
        <v>616</v>
      </c>
      <c r="D3" s="2" t="s">
        <v>208</v>
      </c>
      <c r="F3" s="2" t="s">
        <v>241</v>
      </c>
    </row>
    <row r="4" spans="1:7" x14ac:dyDescent="0.3">
      <c r="A4" s="16"/>
      <c r="B4" s="16"/>
      <c r="C4" t="s">
        <v>617</v>
      </c>
      <c r="D4" s="2" t="s">
        <v>213</v>
      </c>
      <c r="F4" s="2" t="s">
        <v>214</v>
      </c>
    </row>
    <row r="5" spans="1:7" x14ac:dyDescent="0.3">
      <c r="A5" s="16"/>
      <c r="B5" s="16"/>
      <c r="C5" t="s">
        <v>618</v>
      </c>
      <c r="D5" s="2" t="s">
        <v>219</v>
      </c>
      <c r="F5" s="2" t="s">
        <v>220</v>
      </c>
    </row>
    <row r="6" spans="1:7" x14ac:dyDescent="0.3">
      <c r="A6" s="16"/>
      <c r="B6" s="16"/>
      <c r="C6" t="s">
        <v>619</v>
      </c>
      <c r="D6" s="2" t="s">
        <v>226</v>
      </c>
      <c r="F6" s="2" t="s">
        <v>227</v>
      </c>
    </row>
    <row r="7" spans="1:7" x14ac:dyDescent="0.3">
      <c r="A7" s="16"/>
      <c r="B7" s="16"/>
      <c r="C7" t="s">
        <v>620</v>
      </c>
      <c r="D7" s="2" t="s">
        <v>234</v>
      </c>
      <c r="F7" s="2" t="s">
        <v>235</v>
      </c>
    </row>
    <row r="8" spans="1:7" x14ac:dyDescent="0.3">
      <c r="A8" s="16"/>
      <c r="B8" s="16"/>
      <c r="C8" t="s">
        <v>957</v>
      </c>
      <c r="D8" s="2" t="s">
        <v>948</v>
      </c>
      <c r="F8" s="2" t="s">
        <v>950</v>
      </c>
    </row>
    <row r="9" spans="1:7" x14ac:dyDescent="0.3">
      <c r="A9" s="16"/>
      <c r="B9" s="16"/>
      <c r="C9" t="s">
        <v>958</v>
      </c>
      <c r="D9" s="2" t="s">
        <v>952</v>
      </c>
      <c r="F9" s="2" t="s">
        <v>954</v>
      </c>
    </row>
  </sheetData>
  <mergeCells count="2">
    <mergeCell ref="B1:B9"/>
    <mergeCell ref="A1:A9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9876-15C3-4FCD-B3BA-6D7E4216444B}">
  <dimension ref="A1:N9"/>
  <sheetViews>
    <sheetView zoomScaleNormal="100" workbookViewId="0">
      <selection activeCell="C8" sqref="C8"/>
    </sheetView>
  </sheetViews>
  <sheetFormatPr defaultRowHeight="14" x14ac:dyDescent="0.3"/>
  <cols>
    <col min="1" max="1" width="4.08203125" bestFit="1" customWidth="1"/>
    <col min="2" max="2" width="37.9140625" bestFit="1" customWidth="1"/>
    <col min="3" max="3" width="28" bestFit="1" customWidth="1"/>
    <col min="4" max="4" width="43" bestFit="1" customWidth="1"/>
    <col min="5" max="5" width="56.08203125" bestFit="1" customWidth="1"/>
    <col min="6" max="6" width="35.9140625" bestFit="1" customWidth="1"/>
    <col min="7" max="7" width="16.75" bestFit="1" customWidth="1"/>
    <col min="8" max="8" width="23.75" bestFit="1" customWidth="1"/>
    <col min="9" max="9" width="33.58203125" bestFit="1" customWidth="1"/>
    <col min="10" max="10" width="20.9140625" bestFit="1" customWidth="1"/>
    <col min="11" max="11" width="25" bestFit="1" customWidth="1"/>
    <col min="12" max="12" width="28.58203125" bestFit="1" customWidth="1"/>
    <col min="13" max="13" width="23.9140625" bestFit="1" customWidth="1"/>
    <col min="14" max="15" width="32.25" bestFit="1" customWidth="1"/>
  </cols>
  <sheetData>
    <row r="1" spans="1:14" x14ac:dyDescent="0.3">
      <c r="A1" s="16" t="s">
        <v>317</v>
      </c>
      <c r="B1" s="21" t="s">
        <v>463</v>
      </c>
      <c r="C1" s="2" t="s">
        <v>0</v>
      </c>
      <c r="D1" s="12" t="s">
        <v>586</v>
      </c>
      <c r="E1" s="2" t="s">
        <v>421</v>
      </c>
      <c r="F1" s="12" t="s">
        <v>566</v>
      </c>
      <c r="G1" s="2" t="s">
        <v>567</v>
      </c>
      <c r="H1" s="2" t="s">
        <v>568</v>
      </c>
      <c r="I1" s="2" t="s">
        <v>569</v>
      </c>
      <c r="J1" s="2" t="s">
        <v>570</v>
      </c>
      <c r="K1" s="2" t="s">
        <v>571</v>
      </c>
      <c r="L1" s="2" t="s">
        <v>572</v>
      </c>
      <c r="M1" s="2" t="s">
        <v>573</v>
      </c>
      <c r="N1" s="2" t="s">
        <v>574</v>
      </c>
    </row>
    <row r="2" spans="1:14" x14ac:dyDescent="0.3">
      <c r="A2" s="16"/>
      <c r="B2" s="21"/>
      <c r="C2" t="s">
        <v>464</v>
      </c>
      <c r="D2" t="s">
        <v>907</v>
      </c>
      <c r="E2" t="s">
        <v>69</v>
      </c>
      <c r="F2" s="2" t="s">
        <v>913</v>
      </c>
      <c r="J2">
        <v>0.4</v>
      </c>
      <c r="K2">
        <v>1</v>
      </c>
      <c r="L2">
        <v>0</v>
      </c>
      <c r="M2">
        <v>0</v>
      </c>
      <c r="N2">
        <v>0</v>
      </c>
    </row>
    <row r="3" spans="1:14" x14ac:dyDescent="0.3">
      <c r="A3" s="16"/>
      <c r="B3" s="21"/>
      <c r="C3" t="s">
        <v>465</v>
      </c>
      <c r="D3" t="s">
        <v>908</v>
      </c>
      <c r="E3" t="s">
        <v>392</v>
      </c>
      <c r="F3" s="2" t="s">
        <v>913</v>
      </c>
      <c r="J3">
        <v>0.9</v>
      </c>
      <c r="K3">
        <v>1</v>
      </c>
      <c r="L3">
        <v>0</v>
      </c>
      <c r="M3">
        <v>0</v>
      </c>
      <c r="N3">
        <v>0</v>
      </c>
    </row>
    <row r="4" spans="1:14" x14ac:dyDescent="0.3">
      <c r="A4" s="16"/>
      <c r="B4" s="21"/>
      <c r="C4" t="s">
        <v>466</v>
      </c>
      <c r="D4" t="s">
        <v>909</v>
      </c>
      <c r="E4" t="s">
        <v>218</v>
      </c>
      <c r="F4" s="2" t="s">
        <v>913</v>
      </c>
      <c r="J4">
        <v>1</v>
      </c>
      <c r="K4">
        <v>1</v>
      </c>
      <c r="L4">
        <v>0</v>
      </c>
      <c r="M4">
        <v>0</v>
      </c>
      <c r="N4">
        <v>0</v>
      </c>
    </row>
    <row r="5" spans="1:14" x14ac:dyDescent="0.3">
      <c r="A5" s="16"/>
      <c r="B5" s="21"/>
      <c r="C5" t="s">
        <v>467</v>
      </c>
      <c r="D5" t="s">
        <v>910</v>
      </c>
      <c r="E5" t="s">
        <v>224</v>
      </c>
      <c r="F5" s="2" t="s">
        <v>913</v>
      </c>
      <c r="J5">
        <v>0.4</v>
      </c>
      <c r="K5">
        <v>1</v>
      </c>
      <c r="L5">
        <v>0</v>
      </c>
      <c r="M5">
        <v>0</v>
      </c>
      <c r="N5">
        <v>0</v>
      </c>
    </row>
    <row r="6" spans="1:14" x14ac:dyDescent="0.3">
      <c r="A6" s="16"/>
      <c r="B6" s="21"/>
      <c r="C6" t="s">
        <v>468</v>
      </c>
      <c r="D6" t="s">
        <v>911</v>
      </c>
      <c r="E6" t="s">
        <v>469</v>
      </c>
      <c r="F6" s="2" t="s">
        <v>913</v>
      </c>
      <c r="J6">
        <v>0.9</v>
      </c>
      <c r="K6">
        <v>1</v>
      </c>
      <c r="L6">
        <v>0</v>
      </c>
      <c r="M6">
        <v>0</v>
      </c>
      <c r="N6">
        <v>0</v>
      </c>
    </row>
    <row r="7" spans="1:14" x14ac:dyDescent="0.3">
      <c r="A7" s="16"/>
      <c r="B7" s="21"/>
      <c r="C7" t="s">
        <v>470</v>
      </c>
      <c r="D7" t="s">
        <v>912</v>
      </c>
      <c r="E7" t="s">
        <v>239</v>
      </c>
      <c r="F7" s="2" t="s">
        <v>913</v>
      </c>
      <c r="J7">
        <v>0.9</v>
      </c>
      <c r="K7">
        <v>1</v>
      </c>
      <c r="L7">
        <v>0</v>
      </c>
      <c r="M7">
        <v>0</v>
      </c>
      <c r="N7">
        <v>0</v>
      </c>
    </row>
    <row r="8" spans="1:14" x14ac:dyDescent="0.3">
      <c r="A8" s="16"/>
      <c r="B8" s="21"/>
      <c r="C8" t="s">
        <v>959</v>
      </c>
      <c r="D8" t="s">
        <v>961</v>
      </c>
      <c r="E8" t="s">
        <v>964</v>
      </c>
      <c r="F8" s="2" t="s">
        <v>913</v>
      </c>
      <c r="J8">
        <v>2</v>
      </c>
      <c r="K8">
        <v>1</v>
      </c>
      <c r="L8">
        <v>0</v>
      </c>
      <c r="M8">
        <v>0</v>
      </c>
      <c r="N8">
        <v>0</v>
      </c>
    </row>
    <row r="9" spans="1:14" x14ac:dyDescent="0.3">
      <c r="A9" s="16"/>
      <c r="B9" s="21"/>
      <c r="C9" t="s">
        <v>960</v>
      </c>
      <c r="D9" t="s">
        <v>962</v>
      </c>
      <c r="E9" t="s">
        <v>966</v>
      </c>
      <c r="F9" s="2" t="s">
        <v>913</v>
      </c>
      <c r="J9">
        <v>0.4</v>
      </c>
      <c r="K9">
        <v>1</v>
      </c>
      <c r="L9">
        <v>0</v>
      </c>
      <c r="M9">
        <v>0</v>
      </c>
      <c r="N9">
        <v>0</v>
      </c>
    </row>
  </sheetData>
  <mergeCells count="2">
    <mergeCell ref="B1:B9"/>
    <mergeCell ref="A1:A9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1D2D-8493-476D-8E80-61A07C5B38E6}">
  <dimension ref="A1:H9"/>
  <sheetViews>
    <sheetView zoomScale="130" zoomScaleNormal="130" workbookViewId="0">
      <selection activeCell="C18" sqref="C18"/>
    </sheetView>
  </sheetViews>
  <sheetFormatPr defaultColWidth="35.75" defaultRowHeight="14" x14ac:dyDescent="0.3"/>
  <cols>
    <col min="1" max="1" width="3.6640625" bestFit="1" customWidth="1"/>
    <col min="2" max="2" width="36.25" bestFit="1" customWidth="1"/>
    <col min="3" max="3" width="25.4140625" bestFit="1" customWidth="1"/>
    <col min="4" max="4" width="20" bestFit="1" customWidth="1"/>
    <col min="5" max="5" width="27.58203125" bestFit="1" customWidth="1"/>
    <col min="6" max="6" width="36.25" bestFit="1" customWidth="1"/>
    <col min="7" max="7" width="26" bestFit="1" customWidth="1"/>
    <col min="8" max="8" width="37.6640625" bestFit="1" customWidth="1"/>
  </cols>
  <sheetData>
    <row r="1" spans="1:8" x14ac:dyDescent="0.3">
      <c r="A1" s="16" t="s">
        <v>317</v>
      </c>
      <c r="B1" s="21" t="s">
        <v>905</v>
      </c>
      <c r="C1" t="s">
        <v>42</v>
      </c>
      <c r="D1" s="12" t="s">
        <v>575</v>
      </c>
      <c r="E1" s="12" t="s">
        <v>576</v>
      </c>
      <c r="F1" s="2" t="s">
        <v>577</v>
      </c>
      <c r="G1" s="12" t="s">
        <v>578</v>
      </c>
      <c r="H1" s="12" t="s">
        <v>579</v>
      </c>
    </row>
    <row r="2" spans="1:8" x14ac:dyDescent="0.3">
      <c r="A2" s="16"/>
      <c r="B2" s="21"/>
      <c r="C2" t="s">
        <v>580</v>
      </c>
      <c r="D2" s="2" t="s">
        <v>472</v>
      </c>
      <c r="E2">
        <f>30/3600</f>
        <v>8.3333333333333332E-3</v>
      </c>
      <c r="F2">
        <v>0</v>
      </c>
      <c r="G2">
        <v>0</v>
      </c>
      <c r="H2">
        <v>0</v>
      </c>
    </row>
    <row r="3" spans="1:8" x14ac:dyDescent="0.3">
      <c r="A3" s="16"/>
      <c r="B3" s="21"/>
      <c r="C3" t="s">
        <v>581</v>
      </c>
      <c r="D3" s="2" t="s">
        <v>472</v>
      </c>
      <c r="E3">
        <f t="shared" ref="E3:E9" si="0">30/3600</f>
        <v>8.3333333333333332E-3</v>
      </c>
      <c r="F3">
        <v>0</v>
      </c>
      <c r="G3">
        <v>0</v>
      </c>
      <c r="H3">
        <v>0</v>
      </c>
    </row>
    <row r="4" spans="1:8" x14ac:dyDescent="0.3">
      <c r="A4" s="16"/>
      <c r="B4" s="21"/>
      <c r="C4" t="s">
        <v>582</v>
      </c>
      <c r="D4" s="2" t="s">
        <v>472</v>
      </c>
      <c r="E4">
        <f t="shared" si="0"/>
        <v>8.3333333333333332E-3</v>
      </c>
      <c r="F4">
        <v>0</v>
      </c>
      <c r="G4">
        <v>0</v>
      </c>
      <c r="H4">
        <v>0</v>
      </c>
    </row>
    <row r="5" spans="1:8" x14ac:dyDescent="0.3">
      <c r="A5" s="16"/>
      <c r="B5" s="21"/>
      <c r="C5" t="s">
        <v>583</v>
      </c>
      <c r="D5" s="2" t="s">
        <v>472</v>
      </c>
      <c r="E5">
        <f t="shared" si="0"/>
        <v>8.3333333333333332E-3</v>
      </c>
      <c r="F5">
        <v>0</v>
      </c>
      <c r="G5">
        <v>0</v>
      </c>
      <c r="H5">
        <v>0</v>
      </c>
    </row>
    <row r="6" spans="1:8" x14ac:dyDescent="0.3">
      <c r="A6" s="16"/>
      <c r="B6" s="21"/>
      <c r="C6" t="s">
        <v>584</v>
      </c>
      <c r="D6" s="2" t="s">
        <v>472</v>
      </c>
      <c r="E6">
        <f t="shared" si="0"/>
        <v>8.3333333333333332E-3</v>
      </c>
      <c r="F6">
        <v>0</v>
      </c>
      <c r="G6">
        <v>0</v>
      </c>
      <c r="H6">
        <v>0</v>
      </c>
    </row>
    <row r="7" spans="1:8" x14ac:dyDescent="0.3">
      <c r="A7" s="16"/>
      <c r="B7" s="21"/>
      <c r="C7" t="s">
        <v>585</v>
      </c>
      <c r="D7" s="2" t="s">
        <v>472</v>
      </c>
      <c r="E7">
        <f t="shared" si="0"/>
        <v>8.3333333333333332E-3</v>
      </c>
      <c r="F7">
        <v>0</v>
      </c>
      <c r="G7">
        <v>0</v>
      </c>
      <c r="H7">
        <v>0</v>
      </c>
    </row>
    <row r="8" spans="1:8" x14ac:dyDescent="0.3">
      <c r="A8" s="16"/>
      <c r="B8" s="21"/>
      <c r="C8" t="s">
        <v>967</v>
      </c>
      <c r="D8" s="2" t="s">
        <v>472</v>
      </c>
      <c r="E8">
        <f t="shared" si="0"/>
        <v>8.3333333333333332E-3</v>
      </c>
      <c r="F8">
        <v>0</v>
      </c>
      <c r="G8">
        <v>0</v>
      </c>
      <c r="H8">
        <v>0</v>
      </c>
    </row>
    <row r="9" spans="1:8" x14ac:dyDescent="0.3">
      <c r="A9" s="16"/>
      <c r="B9" s="21"/>
      <c r="C9" t="s">
        <v>968</v>
      </c>
      <c r="D9" s="2" t="s">
        <v>472</v>
      </c>
      <c r="E9">
        <f t="shared" si="0"/>
        <v>8.3333333333333332E-3</v>
      </c>
      <c r="F9">
        <v>0</v>
      </c>
      <c r="G9">
        <v>0</v>
      </c>
      <c r="H9">
        <v>0</v>
      </c>
    </row>
  </sheetData>
  <mergeCells count="2">
    <mergeCell ref="B1:B9"/>
    <mergeCell ref="A1:A9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747A-1A07-4E6B-AEA7-15299B3BB3DE}">
  <dimension ref="A1:AB9"/>
  <sheetViews>
    <sheetView zoomScaleNormal="100" workbookViewId="0">
      <selection activeCell="E23" sqref="E23"/>
    </sheetView>
  </sheetViews>
  <sheetFormatPr defaultRowHeight="14" x14ac:dyDescent="0.3"/>
  <cols>
    <col min="1" max="1" width="3.6640625" bestFit="1" customWidth="1"/>
    <col min="2" max="2" width="34.9140625" bestFit="1" customWidth="1"/>
    <col min="3" max="3" width="21.25" bestFit="1" customWidth="1"/>
    <col min="4" max="4" width="25.9140625" bestFit="1" customWidth="1"/>
    <col min="5" max="5" width="27.4140625" bestFit="1" customWidth="1"/>
    <col min="6" max="6" width="28.4140625" bestFit="1" customWidth="1"/>
    <col min="7" max="7" width="27.08203125" bestFit="1" customWidth="1"/>
    <col min="8" max="8" width="40.58203125" bestFit="1" customWidth="1"/>
    <col min="9" max="9" width="40.08203125" bestFit="1" customWidth="1"/>
    <col min="10" max="10" width="42.4140625" bestFit="1" customWidth="1"/>
    <col min="11" max="11" width="41.9140625" bestFit="1" customWidth="1"/>
    <col min="12" max="12" width="31" bestFit="1" customWidth="1"/>
    <col min="13" max="13" width="34.75" bestFit="1" customWidth="1"/>
    <col min="14" max="14" width="13" bestFit="1" customWidth="1"/>
    <col min="15" max="15" width="30.9140625" bestFit="1" customWidth="1"/>
    <col min="16" max="16" width="31.6640625" bestFit="1" customWidth="1"/>
    <col min="17" max="17" width="33.75" bestFit="1" customWidth="1"/>
    <col min="18" max="18" width="33.6640625" bestFit="1" customWidth="1"/>
    <col min="19" max="19" width="29.08203125" bestFit="1" customWidth="1"/>
    <col min="20" max="20" width="26.4140625" bestFit="1" customWidth="1"/>
    <col min="21" max="21" width="26.75" bestFit="1" customWidth="1"/>
    <col min="22" max="22" width="44.25" bestFit="1" customWidth="1"/>
    <col min="23" max="23" width="28.58203125" bestFit="1" customWidth="1"/>
    <col min="24" max="24" width="34.75" bestFit="1" customWidth="1"/>
    <col min="25" max="25" width="28.4140625" bestFit="1" customWidth="1"/>
    <col min="26" max="26" width="19" bestFit="1" customWidth="1"/>
    <col min="27" max="27" width="34.4140625" bestFit="1" customWidth="1"/>
    <col min="28" max="28" width="32.75" bestFit="1" customWidth="1"/>
  </cols>
  <sheetData>
    <row r="1" spans="1:28" s="1" customFormat="1" x14ac:dyDescent="0.3">
      <c r="A1" s="16" t="s">
        <v>317</v>
      </c>
      <c r="B1" s="21" t="s">
        <v>478</v>
      </c>
      <c r="C1" s="13" t="s">
        <v>0</v>
      </c>
      <c r="D1" s="13" t="s">
        <v>589</v>
      </c>
      <c r="E1" s="13" t="s">
        <v>590</v>
      </c>
      <c r="F1" s="13" t="s">
        <v>591</v>
      </c>
      <c r="G1" s="13" t="s">
        <v>592</v>
      </c>
      <c r="H1" s="13" t="s">
        <v>593</v>
      </c>
      <c r="I1" s="13" t="s">
        <v>594</v>
      </c>
      <c r="J1" s="13" t="s">
        <v>595</v>
      </c>
      <c r="K1" s="13" t="s">
        <v>596</v>
      </c>
      <c r="L1" s="13" t="s">
        <v>597</v>
      </c>
      <c r="M1" s="13" t="s">
        <v>598</v>
      </c>
      <c r="N1" s="13" t="s">
        <v>599</v>
      </c>
      <c r="O1" s="13" t="s">
        <v>600</v>
      </c>
      <c r="P1" s="13" t="s">
        <v>601</v>
      </c>
      <c r="Q1" s="13" t="s">
        <v>602</v>
      </c>
      <c r="R1" s="13" t="s">
        <v>603</v>
      </c>
      <c r="S1" s="13" t="s">
        <v>604</v>
      </c>
      <c r="T1" s="13" t="s">
        <v>605</v>
      </c>
      <c r="U1" s="13" t="s">
        <v>606</v>
      </c>
      <c r="V1" s="13" t="s">
        <v>607</v>
      </c>
      <c r="W1" s="13" t="s">
        <v>608</v>
      </c>
      <c r="X1" s="13" t="s">
        <v>609</v>
      </c>
      <c r="Y1" s="13" t="s">
        <v>610</v>
      </c>
      <c r="Z1" s="13" t="s">
        <v>611</v>
      </c>
      <c r="AA1" s="13" t="s">
        <v>612</v>
      </c>
      <c r="AB1" s="13" t="s">
        <v>613</v>
      </c>
    </row>
    <row r="2" spans="1:28" s="1" customFormat="1" x14ac:dyDescent="0.3">
      <c r="A2" s="16"/>
      <c r="B2" s="21"/>
      <c r="C2" t="s">
        <v>504</v>
      </c>
      <c r="H2" s="1">
        <v>50</v>
      </c>
      <c r="I2" s="13">
        <v>13</v>
      </c>
      <c r="J2" s="13">
        <v>1.5599999999999999E-2</v>
      </c>
      <c r="K2" s="13">
        <v>7.7000000000000002E-3</v>
      </c>
      <c r="L2" s="13" t="s">
        <v>505</v>
      </c>
      <c r="N2" s="13" t="s">
        <v>506</v>
      </c>
      <c r="S2" s="13" t="s">
        <v>507</v>
      </c>
      <c r="T2" s="13">
        <v>0.7</v>
      </c>
      <c r="U2" s="13" t="s">
        <v>508</v>
      </c>
      <c r="V2" t="s">
        <v>471</v>
      </c>
      <c r="X2" s="3" t="s">
        <v>509</v>
      </c>
      <c r="Y2" s="3" t="s">
        <v>510</v>
      </c>
      <c r="Z2" s="3" t="s">
        <v>511</v>
      </c>
      <c r="AA2" s="1">
        <v>0.7</v>
      </c>
      <c r="AB2" s="1">
        <v>0.65</v>
      </c>
    </row>
    <row r="3" spans="1:28" s="1" customFormat="1" x14ac:dyDescent="0.3">
      <c r="A3" s="16"/>
      <c r="B3" s="21"/>
      <c r="C3" t="s">
        <v>512</v>
      </c>
      <c r="H3" s="1">
        <v>50</v>
      </c>
      <c r="I3" s="13">
        <v>13</v>
      </c>
      <c r="J3" s="13">
        <v>1.5599999999999999E-2</v>
      </c>
      <c r="K3" s="13">
        <v>7.7000000000000002E-3</v>
      </c>
      <c r="L3" s="13" t="s">
        <v>505</v>
      </c>
      <c r="N3" s="13" t="s">
        <v>506</v>
      </c>
      <c r="S3" s="13" t="s">
        <v>507</v>
      </c>
      <c r="T3" s="13">
        <v>0.7</v>
      </c>
      <c r="U3" s="13" t="s">
        <v>508</v>
      </c>
      <c r="V3" t="s">
        <v>473</v>
      </c>
      <c r="X3" s="3" t="s">
        <v>513</v>
      </c>
      <c r="Y3" s="3" t="s">
        <v>510</v>
      </c>
      <c r="Z3" s="3" t="s">
        <v>514</v>
      </c>
      <c r="AA3" s="1">
        <v>0.7</v>
      </c>
      <c r="AB3" s="1">
        <v>0.65</v>
      </c>
    </row>
    <row r="4" spans="1:28" s="1" customFormat="1" x14ac:dyDescent="0.3">
      <c r="A4" s="16"/>
      <c r="B4" s="21"/>
      <c r="C4" t="s">
        <v>515</v>
      </c>
      <c r="H4" s="1">
        <v>50</v>
      </c>
      <c r="I4" s="13">
        <v>13</v>
      </c>
      <c r="J4" s="13">
        <v>1.5599999999999999E-2</v>
      </c>
      <c r="K4" s="13">
        <v>7.7000000000000002E-3</v>
      </c>
      <c r="L4" s="13" t="s">
        <v>505</v>
      </c>
      <c r="N4" s="13" t="s">
        <v>506</v>
      </c>
      <c r="S4" s="13" t="s">
        <v>507</v>
      </c>
      <c r="T4" s="13">
        <v>0.7</v>
      </c>
      <c r="U4" s="13" t="s">
        <v>508</v>
      </c>
      <c r="V4" t="s">
        <v>474</v>
      </c>
      <c r="X4" s="3" t="s">
        <v>513</v>
      </c>
      <c r="Y4" s="3" t="s">
        <v>510</v>
      </c>
      <c r="Z4" s="3" t="s">
        <v>514</v>
      </c>
      <c r="AA4" s="1">
        <v>0.7</v>
      </c>
      <c r="AB4" s="1">
        <v>0.65</v>
      </c>
    </row>
    <row r="5" spans="1:28" s="1" customFormat="1" x14ac:dyDescent="0.3">
      <c r="A5" s="16"/>
      <c r="B5" s="21"/>
      <c r="C5" t="s">
        <v>516</v>
      </c>
      <c r="H5" s="1">
        <v>50</v>
      </c>
      <c r="I5" s="13">
        <v>13</v>
      </c>
      <c r="J5" s="13">
        <v>1.5599999999999999E-2</v>
      </c>
      <c r="K5" s="13">
        <v>7.7000000000000002E-3</v>
      </c>
      <c r="L5" s="13" t="s">
        <v>505</v>
      </c>
      <c r="N5" s="13" t="s">
        <v>506</v>
      </c>
      <c r="S5" s="13" t="s">
        <v>507</v>
      </c>
      <c r="T5" s="13">
        <v>0.7</v>
      </c>
      <c r="U5" s="13" t="s">
        <v>508</v>
      </c>
      <c r="V5" t="s">
        <v>475</v>
      </c>
      <c r="X5" s="3" t="s">
        <v>513</v>
      </c>
      <c r="Y5" s="3" t="s">
        <v>510</v>
      </c>
      <c r="Z5" s="3" t="s">
        <v>514</v>
      </c>
      <c r="AA5" s="1">
        <v>0.7</v>
      </c>
      <c r="AB5" s="1">
        <v>0.65</v>
      </c>
    </row>
    <row r="6" spans="1:28" s="1" customFormat="1" x14ac:dyDescent="0.3">
      <c r="A6" s="16"/>
      <c r="B6" s="21"/>
      <c r="C6" t="s">
        <v>517</v>
      </c>
      <c r="H6" s="1">
        <v>50</v>
      </c>
      <c r="I6" s="13">
        <v>13</v>
      </c>
      <c r="J6" s="13">
        <v>1.5599999999999999E-2</v>
      </c>
      <c r="K6" s="13">
        <v>7.7000000000000002E-3</v>
      </c>
      <c r="L6" s="13" t="s">
        <v>505</v>
      </c>
      <c r="N6" s="13" t="s">
        <v>506</v>
      </c>
      <c r="S6" s="13" t="s">
        <v>507</v>
      </c>
      <c r="T6" s="13">
        <v>0.7</v>
      </c>
      <c r="U6" s="13" t="s">
        <v>508</v>
      </c>
      <c r="V6" t="s">
        <v>476</v>
      </c>
      <c r="X6" s="3" t="s">
        <v>513</v>
      </c>
      <c r="Y6" s="3" t="s">
        <v>510</v>
      </c>
      <c r="Z6" s="3" t="s">
        <v>514</v>
      </c>
      <c r="AA6" s="1">
        <v>0.7</v>
      </c>
      <c r="AB6" s="1">
        <v>0.65</v>
      </c>
    </row>
    <row r="7" spans="1:28" s="1" customFormat="1" x14ac:dyDescent="0.3">
      <c r="A7" s="16"/>
      <c r="B7" s="21"/>
      <c r="C7" t="s">
        <v>969</v>
      </c>
      <c r="H7" s="1">
        <v>50</v>
      </c>
      <c r="I7" s="13">
        <v>13</v>
      </c>
      <c r="J7" s="13">
        <v>1.5599999999999999E-2</v>
      </c>
      <c r="K7" s="13">
        <v>7.7000000000000002E-3</v>
      </c>
      <c r="L7" s="13" t="s">
        <v>505</v>
      </c>
      <c r="N7" s="13" t="s">
        <v>506</v>
      </c>
      <c r="S7" s="13" t="s">
        <v>507</v>
      </c>
      <c r="T7" s="13">
        <v>0.7</v>
      </c>
      <c r="U7" s="13" t="s">
        <v>508</v>
      </c>
      <c r="V7" t="s">
        <v>477</v>
      </c>
      <c r="X7" s="3" t="s">
        <v>513</v>
      </c>
      <c r="Y7" s="3" t="s">
        <v>510</v>
      </c>
      <c r="Z7" s="3" t="s">
        <v>514</v>
      </c>
      <c r="AA7" s="1">
        <v>0.7</v>
      </c>
      <c r="AB7" s="1">
        <v>0.65</v>
      </c>
    </row>
    <row r="8" spans="1:28" x14ac:dyDescent="0.3">
      <c r="A8" s="16"/>
      <c r="B8" s="21"/>
      <c r="C8" t="s">
        <v>970</v>
      </c>
      <c r="H8" s="1">
        <v>50</v>
      </c>
      <c r="I8" s="13">
        <v>13</v>
      </c>
      <c r="J8" s="13">
        <v>1.5599999999999999E-2</v>
      </c>
      <c r="K8" s="13">
        <v>7.7000000000000002E-3</v>
      </c>
      <c r="L8" s="13" t="s">
        <v>505</v>
      </c>
      <c r="N8" s="13" t="s">
        <v>506</v>
      </c>
      <c r="S8" s="13" t="s">
        <v>507</v>
      </c>
      <c r="T8" s="13">
        <v>0.7</v>
      </c>
      <c r="U8" s="13" t="s">
        <v>508</v>
      </c>
      <c r="V8" t="s">
        <v>972</v>
      </c>
      <c r="X8" s="3" t="s">
        <v>513</v>
      </c>
      <c r="Y8" s="3" t="s">
        <v>510</v>
      </c>
      <c r="Z8" s="3" t="s">
        <v>514</v>
      </c>
      <c r="AA8" s="1">
        <v>0.7</v>
      </c>
      <c r="AB8" s="1">
        <v>0.65</v>
      </c>
    </row>
    <row r="9" spans="1:28" x14ac:dyDescent="0.3">
      <c r="A9" s="16"/>
      <c r="B9" s="21"/>
      <c r="C9" t="s">
        <v>971</v>
      </c>
      <c r="H9" s="1">
        <v>50</v>
      </c>
      <c r="I9" s="13">
        <v>13</v>
      </c>
      <c r="J9" s="13">
        <v>1.5599999999999999E-2</v>
      </c>
      <c r="K9" s="13">
        <v>7.7000000000000002E-3</v>
      </c>
      <c r="L9" s="13" t="s">
        <v>505</v>
      </c>
      <c r="N9" s="13" t="s">
        <v>506</v>
      </c>
      <c r="S9" s="13" t="s">
        <v>507</v>
      </c>
      <c r="T9" s="13">
        <v>0.7</v>
      </c>
      <c r="U9" s="13" t="s">
        <v>508</v>
      </c>
      <c r="V9" t="s">
        <v>973</v>
      </c>
      <c r="X9" s="3" t="s">
        <v>513</v>
      </c>
      <c r="Y9" s="3" t="s">
        <v>510</v>
      </c>
      <c r="Z9" s="3" t="s">
        <v>514</v>
      </c>
      <c r="AA9" s="1">
        <v>0.7</v>
      </c>
      <c r="AB9" s="1">
        <v>0.65</v>
      </c>
    </row>
  </sheetData>
  <mergeCells count="2">
    <mergeCell ref="B1:B9"/>
    <mergeCell ref="A1:A9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E87E-5A85-45E6-905E-412FB0084FBE}">
  <dimension ref="A1:E10"/>
  <sheetViews>
    <sheetView zoomScale="175" zoomScaleNormal="175" workbookViewId="0">
      <selection activeCell="G6" sqref="G6"/>
    </sheetView>
  </sheetViews>
  <sheetFormatPr defaultRowHeight="14" x14ac:dyDescent="0.3"/>
  <cols>
    <col min="1" max="1" width="3.6640625" bestFit="1" customWidth="1"/>
    <col min="2" max="2" width="18.33203125" bestFit="1" customWidth="1"/>
    <col min="3" max="3" width="9.9140625" bestFit="1" customWidth="1"/>
    <col min="4" max="4" width="46.58203125" bestFit="1" customWidth="1"/>
    <col min="5" max="5" width="20.08203125" bestFit="1" customWidth="1"/>
  </cols>
  <sheetData>
    <row r="1" spans="1:5" x14ac:dyDescent="0.3">
      <c r="A1" s="16" t="s">
        <v>317</v>
      </c>
      <c r="B1" s="16" t="s">
        <v>863</v>
      </c>
      <c r="C1" t="s">
        <v>868</v>
      </c>
      <c r="D1" t="s">
        <v>870</v>
      </c>
      <c r="E1" t="s">
        <v>869</v>
      </c>
    </row>
    <row r="2" spans="1:5" x14ac:dyDescent="0.3">
      <c r="A2" s="16"/>
      <c r="B2" s="16"/>
      <c r="D2" t="s">
        <v>864</v>
      </c>
      <c r="E2" t="s">
        <v>914</v>
      </c>
    </row>
    <row r="3" spans="1:5" x14ac:dyDescent="0.3">
      <c r="A3" s="16"/>
      <c r="B3" s="16"/>
      <c r="D3" t="s">
        <v>867</v>
      </c>
      <c r="E3" t="s">
        <v>914</v>
      </c>
    </row>
    <row r="4" spans="1:5" x14ac:dyDescent="0.3">
      <c r="A4" s="16"/>
      <c r="B4" s="16"/>
      <c r="D4" t="s">
        <v>865</v>
      </c>
      <c r="E4" t="s">
        <v>914</v>
      </c>
    </row>
    <row r="5" spans="1:5" x14ac:dyDescent="0.3">
      <c r="A5" s="16"/>
      <c r="B5" s="16"/>
      <c r="D5" t="s">
        <v>866</v>
      </c>
      <c r="E5" t="s">
        <v>914</v>
      </c>
    </row>
    <row r="6" spans="1:5" x14ac:dyDescent="0.3">
      <c r="D6" s="2" t="s">
        <v>888</v>
      </c>
      <c r="E6" t="s">
        <v>914</v>
      </c>
    </row>
    <row r="7" spans="1:5" x14ac:dyDescent="0.3">
      <c r="D7" s="2" t="s">
        <v>889</v>
      </c>
      <c r="E7" t="s">
        <v>914</v>
      </c>
    </row>
    <row r="8" spans="1:5" x14ac:dyDescent="0.3">
      <c r="D8" s="2" t="s">
        <v>890</v>
      </c>
      <c r="E8" t="s">
        <v>914</v>
      </c>
    </row>
    <row r="9" spans="1:5" x14ac:dyDescent="0.3">
      <c r="D9" s="2" t="s">
        <v>891</v>
      </c>
      <c r="E9" t="s">
        <v>914</v>
      </c>
    </row>
    <row r="10" spans="1:5" x14ac:dyDescent="0.3">
      <c r="D10" s="2" t="s">
        <v>892</v>
      </c>
      <c r="E10" t="s">
        <v>914</v>
      </c>
    </row>
  </sheetData>
  <mergeCells count="2">
    <mergeCell ref="B1:B5"/>
    <mergeCell ref="A1:A5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5CE9-6B4B-4662-BBB1-4F2E5CFC6230}">
  <dimension ref="A1:D2"/>
  <sheetViews>
    <sheetView workbookViewId="0">
      <selection activeCell="J2" sqref="J2"/>
    </sheetView>
  </sheetViews>
  <sheetFormatPr defaultRowHeight="14" x14ac:dyDescent="0.3"/>
  <cols>
    <col min="1" max="1" width="3.6640625" bestFit="1" customWidth="1"/>
    <col min="2" max="2" width="30.25" bestFit="1" customWidth="1"/>
    <col min="3" max="3" width="9.08203125" bestFit="1" customWidth="1"/>
    <col min="4" max="4" width="11.6640625" bestFit="1" customWidth="1"/>
  </cols>
  <sheetData>
    <row r="1" spans="1:4" x14ac:dyDescent="0.3">
      <c r="A1" s="16" t="s">
        <v>317</v>
      </c>
      <c r="B1" s="16" t="s">
        <v>893</v>
      </c>
      <c r="C1" s="2" t="s">
        <v>896</v>
      </c>
      <c r="D1" s="2" t="s">
        <v>897</v>
      </c>
    </row>
    <row r="2" spans="1:4" x14ac:dyDescent="0.3">
      <c r="A2" s="16"/>
      <c r="B2" s="16"/>
      <c r="C2" s="2" t="s">
        <v>894</v>
      </c>
      <c r="D2" s="2" t="s">
        <v>895</v>
      </c>
    </row>
  </sheetData>
  <mergeCells count="2">
    <mergeCell ref="B1:B2"/>
    <mergeCell ref="A1:A2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4285-E4FE-4B02-B39E-1FCE910FAC04}">
  <dimension ref="A1:AB7"/>
  <sheetViews>
    <sheetView workbookViewId="0">
      <selection activeCell="C18" sqref="C18"/>
    </sheetView>
  </sheetViews>
  <sheetFormatPr defaultColWidth="35.75" defaultRowHeight="14" x14ac:dyDescent="0.3"/>
  <cols>
    <col min="1" max="1" width="3.6640625" style="1" bestFit="1" customWidth="1"/>
    <col min="2" max="2" width="34.9140625" style="1" bestFit="1" customWidth="1"/>
    <col min="3" max="3" width="21.25" style="1" bestFit="1" customWidth="1"/>
    <col min="4" max="4" width="25.9140625" style="1" bestFit="1" customWidth="1"/>
    <col min="5" max="5" width="27.4140625" style="1" bestFit="1" customWidth="1"/>
    <col min="6" max="6" width="28.4140625" style="1" bestFit="1" customWidth="1"/>
    <col min="7" max="7" width="27.08203125" style="1" bestFit="1" customWidth="1"/>
    <col min="8" max="8" width="40.58203125" style="1" bestFit="1" customWidth="1"/>
    <col min="9" max="9" width="40.08203125" style="1" bestFit="1" customWidth="1"/>
    <col min="10" max="10" width="42.4140625" style="1" bestFit="1" customWidth="1"/>
    <col min="11" max="11" width="41.9140625" style="1" bestFit="1" customWidth="1"/>
    <col min="12" max="12" width="31" style="1" bestFit="1" customWidth="1"/>
    <col min="13" max="13" width="34.75" style="1" bestFit="1" customWidth="1"/>
    <col min="14" max="14" width="13" style="1" bestFit="1" customWidth="1"/>
    <col min="15" max="15" width="30.9140625" style="1" bestFit="1" customWidth="1"/>
    <col min="16" max="16" width="31.6640625" style="1" bestFit="1" customWidth="1"/>
    <col min="17" max="17" width="33.75" style="1" bestFit="1" customWidth="1"/>
    <col min="18" max="18" width="33.6640625" style="1" bestFit="1" customWidth="1"/>
    <col min="19" max="19" width="29.08203125" style="1" bestFit="1" customWidth="1"/>
    <col min="20" max="20" width="26.4140625" style="1" bestFit="1" customWidth="1"/>
    <col min="21" max="21" width="26.75" style="1" bestFit="1" customWidth="1"/>
    <col min="22" max="22" width="44.25" style="1" bestFit="1" customWidth="1"/>
    <col min="23" max="23" width="28.58203125" style="1" bestFit="1" customWidth="1"/>
    <col min="24" max="24" width="34.75" style="1" bestFit="1" customWidth="1"/>
    <col min="25" max="25" width="28.4140625" style="1" bestFit="1" customWidth="1"/>
    <col min="26" max="26" width="19" style="1" bestFit="1" customWidth="1"/>
    <col min="27" max="27" width="34.4140625" style="1" bestFit="1" customWidth="1"/>
    <col min="28" max="28" width="32.75" style="1" bestFit="1" customWidth="1"/>
    <col min="29" max="16384" width="35.75" style="1"/>
  </cols>
  <sheetData>
    <row r="1" spans="1:28" x14ac:dyDescent="0.3">
      <c r="A1" s="16" t="s">
        <v>317</v>
      </c>
      <c r="B1" s="21" t="s">
        <v>478</v>
      </c>
      <c r="C1" s="13" t="s">
        <v>0</v>
      </c>
      <c r="D1" s="13" t="s">
        <v>479</v>
      </c>
      <c r="E1" s="13" t="s">
        <v>480</v>
      </c>
      <c r="F1" s="13" t="s">
        <v>481</v>
      </c>
      <c r="G1" s="13" t="s">
        <v>482</v>
      </c>
      <c r="H1" s="13" t="s">
        <v>483</v>
      </c>
      <c r="I1" s="13" t="s">
        <v>484</v>
      </c>
      <c r="J1" s="13" t="s">
        <v>485</v>
      </c>
      <c r="K1" s="13" t="s">
        <v>486</v>
      </c>
      <c r="L1" s="13" t="s">
        <v>487</v>
      </c>
      <c r="M1" s="13" t="s">
        <v>488</v>
      </c>
      <c r="N1" s="13" t="s">
        <v>489</v>
      </c>
      <c r="O1" s="13" t="s">
        <v>490</v>
      </c>
      <c r="P1" s="13" t="s">
        <v>491</v>
      </c>
      <c r="Q1" s="13" t="s">
        <v>492</v>
      </c>
      <c r="R1" s="13" t="s">
        <v>493</v>
      </c>
      <c r="S1" s="13" t="s">
        <v>494</v>
      </c>
      <c r="T1" s="13" t="s">
        <v>495</v>
      </c>
      <c r="U1" s="13" t="s">
        <v>496</v>
      </c>
      <c r="V1" s="13" t="s">
        <v>497</v>
      </c>
      <c r="W1" s="13" t="s">
        <v>498</v>
      </c>
      <c r="X1" s="13" t="s">
        <v>499</v>
      </c>
      <c r="Y1" s="13" t="s">
        <v>500</v>
      </c>
      <c r="Z1" s="13" t="s">
        <v>501</v>
      </c>
      <c r="AA1" s="13" t="s">
        <v>502</v>
      </c>
      <c r="AB1" s="13" t="s">
        <v>503</v>
      </c>
    </row>
    <row r="2" spans="1:28" x14ac:dyDescent="0.3">
      <c r="A2" s="16"/>
      <c r="B2" s="21"/>
      <c r="C2" t="s">
        <v>504</v>
      </c>
      <c r="H2" s="1">
        <v>50</v>
      </c>
      <c r="I2" s="13">
        <v>13</v>
      </c>
      <c r="J2" s="13">
        <v>1.5599999999999999E-2</v>
      </c>
      <c r="K2" s="13">
        <v>7.7000000000000002E-3</v>
      </c>
      <c r="L2" s="13" t="s">
        <v>505</v>
      </c>
      <c r="N2" s="13" t="s">
        <v>506</v>
      </c>
      <c r="S2" s="13" t="s">
        <v>507</v>
      </c>
      <c r="T2" s="13">
        <v>0.7</v>
      </c>
      <c r="U2" s="13" t="s">
        <v>508</v>
      </c>
      <c r="V2" t="s">
        <v>471</v>
      </c>
      <c r="X2" s="3" t="s">
        <v>509</v>
      </c>
      <c r="Y2" s="3" t="s">
        <v>510</v>
      </c>
      <c r="Z2" s="3" t="s">
        <v>511</v>
      </c>
      <c r="AA2" s="1">
        <v>0.7</v>
      </c>
      <c r="AB2" s="1">
        <v>0.65</v>
      </c>
    </row>
    <row r="3" spans="1:28" x14ac:dyDescent="0.3">
      <c r="A3" s="16"/>
      <c r="B3" s="21"/>
      <c r="C3" t="s">
        <v>512</v>
      </c>
      <c r="H3" s="1">
        <v>50</v>
      </c>
      <c r="I3" s="13">
        <v>13</v>
      </c>
      <c r="J3" s="13">
        <v>1.5599999999999999E-2</v>
      </c>
      <c r="K3" s="13">
        <v>7.7000000000000002E-3</v>
      </c>
      <c r="L3" s="13" t="s">
        <v>505</v>
      </c>
      <c r="N3" s="13" t="s">
        <v>506</v>
      </c>
      <c r="S3" s="13" t="s">
        <v>507</v>
      </c>
      <c r="T3" s="13">
        <v>0.7</v>
      </c>
      <c r="U3" s="13" t="s">
        <v>508</v>
      </c>
      <c r="V3" t="s">
        <v>473</v>
      </c>
      <c r="X3" s="3" t="s">
        <v>513</v>
      </c>
      <c r="Y3" s="3" t="s">
        <v>510</v>
      </c>
      <c r="Z3" s="3" t="s">
        <v>514</v>
      </c>
      <c r="AA3" s="1">
        <v>0.7</v>
      </c>
      <c r="AB3" s="1">
        <v>0.65</v>
      </c>
    </row>
    <row r="4" spans="1:28" x14ac:dyDescent="0.3">
      <c r="A4" s="16"/>
      <c r="B4" s="21"/>
      <c r="C4" t="s">
        <v>515</v>
      </c>
      <c r="H4" s="1">
        <v>50</v>
      </c>
      <c r="I4" s="13">
        <v>13</v>
      </c>
      <c r="J4" s="13">
        <v>1.5599999999999999E-2</v>
      </c>
      <c r="K4" s="13">
        <v>7.7000000000000002E-3</v>
      </c>
      <c r="L4" s="13" t="s">
        <v>505</v>
      </c>
      <c r="N4" s="13" t="s">
        <v>506</v>
      </c>
      <c r="S4" s="13" t="s">
        <v>507</v>
      </c>
      <c r="T4" s="13">
        <v>0.7</v>
      </c>
      <c r="U4" s="13" t="s">
        <v>508</v>
      </c>
      <c r="V4" t="s">
        <v>474</v>
      </c>
      <c r="X4" s="3" t="s">
        <v>513</v>
      </c>
      <c r="Y4" s="3" t="s">
        <v>510</v>
      </c>
      <c r="Z4" s="3" t="s">
        <v>514</v>
      </c>
      <c r="AA4" s="1">
        <v>0.7</v>
      </c>
      <c r="AB4" s="1">
        <v>0.65</v>
      </c>
    </row>
    <row r="5" spans="1:28" x14ac:dyDescent="0.3">
      <c r="A5" s="16"/>
      <c r="B5" s="21"/>
      <c r="C5" t="s">
        <v>516</v>
      </c>
      <c r="H5" s="1">
        <v>50</v>
      </c>
      <c r="I5" s="13">
        <v>13</v>
      </c>
      <c r="J5" s="13">
        <v>1.5599999999999999E-2</v>
      </c>
      <c r="K5" s="13">
        <v>7.7000000000000002E-3</v>
      </c>
      <c r="L5" s="13" t="s">
        <v>505</v>
      </c>
      <c r="N5" s="13" t="s">
        <v>506</v>
      </c>
      <c r="S5" s="13" t="s">
        <v>507</v>
      </c>
      <c r="T5" s="13">
        <v>0.7</v>
      </c>
      <c r="U5" s="13" t="s">
        <v>508</v>
      </c>
      <c r="V5" t="s">
        <v>475</v>
      </c>
      <c r="X5" s="3" t="s">
        <v>513</v>
      </c>
      <c r="Y5" s="3" t="s">
        <v>510</v>
      </c>
      <c r="Z5" s="3" t="s">
        <v>514</v>
      </c>
      <c r="AA5" s="1">
        <v>0.7</v>
      </c>
      <c r="AB5" s="1">
        <v>0.65</v>
      </c>
    </row>
    <row r="6" spans="1:28" x14ac:dyDescent="0.3">
      <c r="A6" s="16"/>
      <c r="B6" s="21"/>
      <c r="C6" t="s">
        <v>517</v>
      </c>
      <c r="H6" s="1">
        <v>50</v>
      </c>
      <c r="I6" s="13">
        <v>13</v>
      </c>
      <c r="J6" s="13">
        <v>1.5599999999999999E-2</v>
      </c>
      <c r="K6" s="13">
        <v>7.7000000000000002E-3</v>
      </c>
      <c r="L6" s="13" t="s">
        <v>505</v>
      </c>
      <c r="N6" s="13" t="s">
        <v>506</v>
      </c>
      <c r="S6" s="13" t="s">
        <v>507</v>
      </c>
      <c r="T6" s="13">
        <v>0.7</v>
      </c>
      <c r="U6" s="13" t="s">
        <v>508</v>
      </c>
      <c r="V6" t="s">
        <v>476</v>
      </c>
      <c r="X6" s="3" t="s">
        <v>513</v>
      </c>
      <c r="Y6" s="3" t="s">
        <v>510</v>
      </c>
      <c r="Z6" s="3" t="s">
        <v>514</v>
      </c>
      <c r="AA6" s="1">
        <v>0.7</v>
      </c>
      <c r="AB6" s="1">
        <v>0.65</v>
      </c>
    </row>
    <row r="7" spans="1:28" x14ac:dyDescent="0.3">
      <c r="A7" s="16"/>
      <c r="B7" s="21"/>
      <c r="C7" t="s">
        <v>518</v>
      </c>
      <c r="H7" s="1">
        <v>50</v>
      </c>
      <c r="I7" s="13">
        <v>13</v>
      </c>
      <c r="J7" s="13">
        <v>1.5599999999999999E-2</v>
      </c>
      <c r="K7" s="13">
        <v>7.7000000000000002E-3</v>
      </c>
      <c r="L7" s="13" t="s">
        <v>505</v>
      </c>
      <c r="N7" s="13" t="s">
        <v>506</v>
      </c>
      <c r="S7" s="13" t="s">
        <v>507</v>
      </c>
      <c r="T7" s="13">
        <v>0.7</v>
      </c>
      <c r="U7" s="13" t="s">
        <v>508</v>
      </c>
      <c r="V7" t="s">
        <v>477</v>
      </c>
      <c r="X7" s="3" t="s">
        <v>513</v>
      </c>
      <c r="Y7" s="3" t="s">
        <v>510</v>
      </c>
      <c r="Z7" s="3" t="s">
        <v>514</v>
      </c>
      <c r="AA7" s="1">
        <v>0.7</v>
      </c>
      <c r="AB7" s="1">
        <v>0.65</v>
      </c>
    </row>
  </sheetData>
  <mergeCells count="2">
    <mergeCell ref="A1:A7"/>
    <mergeCell ref="B1:B7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630-9675-4AD4-99F9-B5C5DCD39780}">
  <dimension ref="A1:Q12"/>
  <sheetViews>
    <sheetView zoomScale="115" zoomScaleNormal="115" workbookViewId="0">
      <selection activeCell="D47" sqref="D47"/>
    </sheetView>
  </sheetViews>
  <sheetFormatPr defaultRowHeight="14" x14ac:dyDescent="0.3"/>
  <cols>
    <col min="1" max="1" width="9" bestFit="1" customWidth="1"/>
    <col min="2" max="2" width="39.75" bestFit="1" customWidth="1"/>
    <col min="3" max="3" width="14.6640625" bestFit="1" customWidth="1"/>
    <col min="4" max="4" width="37.75" bestFit="1" customWidth="1"/>
    <col min="5" max="5" width="37.6640625" bestFit="1" customWidth="1"/>
    <col min="6" max="6" width="31.08203125" bestFit="1" customWidth="1"/>
    <col min="7" max="7" width="19.6640625" bestFit="1" customWidth="1"/>
    <col min="8" max="8" width="29.25" bestFit="1" customWidth="1"/>
    <col min="9" max="9" width="37.6640625" bestFit="1" customWidth="1"/>
    <col min="10" max="10" width="22.75" bestFit="1" customWidth="1"/>
    <col min="11" max="11" width="21" bestFit="1" customWidth="1"/>
    <col min="12" max="12" width="24.25" bestFit="1" customWidth="1"/>
    <col min="13" max="13" width="20.08203125" bestFit="1" customWidth="1"/>
    <col min="14" max="14" width="45.9140625" bestFit="1" customWidth="1"/>
    <col min="15" max="15" width="45.4140625" bestFit="1" customWidth="1"/>
    <col min="16" max="17" width="52" bestFit="1" customWidth="1"/>
  </cols>
  <sheetData>
    <row r="1" spans="1:17" x14ac:dyDescent="0.3">
      <c r="A1" t="s">
        <v>9</v>
      </c>
      <c r="C1" s="3" t="s">
        <v>42</v>
      </c>
      <c r="D1" s="3" t="s">
        <v>71</v>
      </c>
      <c r="E1" s="3" t="s">
        <v>72</v>
      </c>
    </row>
    <row r="2" spans="1:17" x14ac:dyDescent="0.3">
      <c r="A2" t="s">
        <v>10</v>
      </c>
      <c r="B2" t="s">
        <v>320</v>
      </c>
      <c r="C2" t="s">
        <v>73</v>
      </c>
      <c r="D2" s="2" t="s">
        <v>64</v>
      </c>
      <c r="E2" s="2" t="s">
        <v>65</v>
      </c>
    </row>
    <row r="3" spans="1:17" x14ac:dyDescent="0.3">
      <c r="B3" s="5" t="s">
        <v>244</v>
      </c>
    </row>
    <row r="4" spans="1:17" x14ac:dyDescent="0.3">
      <c r="B4" t="s">
        <v>243</v>
      </c>
    </row>
    <row r="8" spans="1:17" x14ac:dyDescent="0.3">
      <c r="B8" t="s">
        <v>242</v>
      </c>
      <c r="C8" s="3" t="s">
        <v>0</v>
      </c>
      <c r="D8" s="3" t="s">
        <v>245</v>
      </c>
      <c r="E8" s="3" t="s">
        <v>260</v>
      </c>
      <c r="F8" s="3" t="s">
        <v>247</v>
      </c>
      <c r="G8" s="3" t="s">
        <v>248</v>
      </c>
      <c r="H8" s="3" t="s">
        <v>249</v>
      </c>
      <c r="I8" s="3" t="s">
        <v>250</v>
      </c>
      <c r="J8" s="6" t="s">
        <v>251</v>
      </c>
      <c r="K8" s="3" t="s">
        <v>253</v>
      </c>
      <c r="L8" s="3" t="s">
        <v>254</v>
      </c>
      <c r="M8" s="3" t="s">
        <v>255</v>
      </c>
      <c r="N8" s="3" t="s">
        <v>256</v>
      </c>
      <c r="O8" s="6" t="s">
        <v>257</v>
      </c>
      <c r="P8" s="3" t="s">
        <v>258</v>
      </c>
      <c r="Q8" s="3" t="s">
        <v>259</v>
      </c>
    </row>
    <row r="9" spans="1:17" x14ac:dyDescent="0.3">
      <c r="B9" s="3" t="s">
        <v>261</v>
      </c>
      <c r="C9" s="3" t="s">
        <v>42</v>
      </c>
      <c r="D9" s="3" t="s">
        <v>262</v>
      </c>
      <c r="E9" s="7" t="s">
        <v>263</v>
      </c>
      <c r="F9" s="3" t="s">
        <v>264</v>
      </c>
      <c r="G9" s="8" t="s">
        <v>265</v>
      </c>
      <c r="H9" s="6" t="s">
        <v>266</v>
      </c>
      <c r="I9" s="3" t="s">
        <v>267</v>
      </c>
      <c r="J9" s="3" t="s">
        <v>268</v>
      </c>
      <c r="K9" s="3" t="s">
        <v>269</v>
      </c>
      <c r="L9" s="3" t="s">
        <v>270</v>
      </c>
      <c r="M9" s="6" t="s">
        <v>271</v>
      </c>
      <c r="N9" s="7" t="s">
        <v>272</v>
      </c>
    </row>
    <row r="10" spans="1:17" x14ac:dyDescent="0.3">
      <c r="B10" s="3" t="s">
        <v>273</v>
      </c>
      <c r="C10" s="3" t="s">
        <v>42</v>
      </c>
      <c r="D10" s="3" t="s">
        <v>245</v>
      </c>
      <c r="E10" s="3" t="s">
        <v>274</v>
      </c>
      <c r="F10" s="3" t="s">
        <v>275</v>
      </c>
      <c r="G10" s="3" t="s">
        <v>276</v>
      </c>
      <c r="H10" s="3" t="s">
        <v>277</v>
      </c>
      <c r="I10" s="3" t="s">
        <v>278</v>
      </c>
      <c r="J10" s="3" t="s">
        <v>252</v>
      </c>
      <c r="K10" s="3" t="s">
        <v>279</v>
      </c>
      <c r="L10" s="3" t="s">
        <v>280</v>
      </c>
    </row>
    <row r="11" spans="1:17" x14ac:dyDescent="0.3">
      <c r="B11" s="3" t="s">
        <v>281</v>
      </c>
      <c r="C11" s="3" t="s">
        <v>42</v>
      </c>
      <c r="D11" s="3" t="s">
        <v>245</v>
      </c>
      <c r="E11" s="3" t="s">
        <v>246</v>
      </c>
      <c r="F11" s="3" t="s">
        <v>247</v>
      </c>
      <c r="G11" s="3" t="s">
        <v>282</v>
      </c>
      <c r="H11" s="3" t="s">
        <v>283</v>
      </c>
      <c r="I11" s="3" t="s">
        <v>284</v>
      </c>
      <c r="J11" s="3" t="s">
        <v>285</v>
      </c>
      <c r="K11" s="3" t="s">
        <v>252</v>
      </c>
      <c r="L11" s="3" t="s">
        <v>286</v>
      </c>
      <c r="M11" s="3" t="s">
        <v>287</v>
      </c>
    </row>
    <row r="12" spans="1:17" x14ac:dyDescent="0.3">
      <c r="B12" s="3" t="s">
        <v>288</v>
      </c>
      <c r="C12" s="3" t="s">
        <v>42</v>
      </c>
      <c r="D12" s="3" t="s">
        <v>245</v>
      </c>
      <c r="E12" s="3" t="s">
        <v>246</v>
      </c>
      <c r="F12" s="3" t="s">
        <v>289</v>
      </c>
      <c r="G12" s="3" t="s">
        <v>290</v>
      </c>
      <c r="H12" s="3" t="s">
        <v>291</v>
      </c>
      <c r="I12" s="3" t="s">
        <v>292</v>
      </c>
      <c r="J12" s="3" t="s">
        <v>293</v>
      </c>
      <c r="K12" s="3" t="s">
        <v>294</v>
      </c>
      <c r="L12" s="3" t="s">
        <v>295</v>
      </c>
      <c r="M12" s="3" t="s">
        <v>296</v>
      </c>
      <c r="N12" s="3" t="s">
        <v>297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47E1-C670-46BE-BEBD-6E8053656814}">
  <dimension ref="A1:R7"/>
  <sheetViews>
    <sheetView workbookViewId="0">
      <selection activeCell="G42" sqref="G42"/>
    </sheetView>
  </sheetViews>
  <sheetFormatPr defaultRowHeight="14" x14ac:dyDescent="0.3"/>
  <sheetData>
    <row r="1" spans="1:18" x14ac:dyDescent="0.3">
      <c r="A1" s="16" t="s">
        <v>10</v>
      </c>
      <c r="B1" s="2" t="s">
        <v>234</v>
      </c>
      <c r="C1" s="1" t="s">
        <v>1</v>
      </c>
      <c r="D1" t="s">
        <v>195</v>
      </c>
      <c r="E1">
        <v>1</v>
      </c>
      <c r="F1">
        <v>1</v>
      </c>
      <c r="G1">
        <v>3</v>
      </c>
      <c r="H1">
        <v>31</v>
      </c>
      <c r="I1" t="s">
        <v>194</v>
      </c>
      <c r="J1">
        <v>4</v>
      </c>
      <c r="K1">
        <v>1</v>
      </c>
      <c r="L1">
        <v>11</v>
      </c>
      <c r="M1">
        <v>30</v>
      </c>
      <c r="N1" t="s">
        <v>195</v>
      </c>
      <c r="O1">
        <v>12</v>
      </c>
      <c r="P1">
        <v>1</v>
      </c>
      <c r="Q1">
        <v>12</v>
      </c>
      <c r="R1">
        <v>31</v>
      </c>
    </row>
    <row r="2" spans="1:18" x14ac:dyDescent="0.3">
      <c r="A2" s="16"/>
      <c r="B2" s="2" t="s">
        <v>235</v>
      </c>
      <c r="C2" s="1" t="s">
        <v>1</v>
      </c>
      <c r="D2" t="s">
        <v>196</v>
      </c>
      <c r="E2">
        <v>1</v>
      </c>
      <c r="F2">
        <v>1</v>
      </c>
      <c r="G2">
        <v>5</v>
      </c>
      <c r="H2">
        <v>31</v>
      </c>
      <c r="I2" t="s">
        <v>197</v>
      </c>
      <c r="J2">
        <v>6</v>
      </c>
      <c r="K2">
        <v>1</v>
      </c>
      <c r="L2">
        <v>9</v>
      </c>
      <c r="M2">
        <v>30</v>
      </c>
      <c r="N2" t="s">
        <v>196</v>
      </c>
      <c r="O2">
        <v>10</v>
      </c>
      <c r="P2">
        <v>1</v>
      </c>
      <c r="Q2">
        <v>12</v>
      </c>
      <c r="R2">
        <v>31</v>
      </c>
    </row>
    <row r="3" spans="1:18" x14ac:dyDescent="0.3">
      <c r="A3" s="16"/>
      <c r="B3" s="2" t="s">
        <v>236</v>
      </c>
      <c r="C3" s="1" t="s">
        <v>5</v>
      </c>
      <c r="D3" t="s">
        <v>198</v>
      </c>
      <c r="E3">
        <v>1</v>
      </c>
      <c r="F3">
        <v>1</v>
      </c>
      <c r="G3">
        <v>12</v>
      </c>
      <c r="H3">
        <v>31</v>
      </c>
    </row>
    <row r="4" spans="1:18" x14ac:dyDescent="0.3">
      <c r="A4" s="16"/>
      <c r="B4" t="s">
        <v>237</v>
      </c>
      <c r="C4" s="1" t="s">
        <v>5</v>
      </c>
      <c r="D4" t="s">
        <v>199</v>
      </c>
      <c r="E4">
        <v>1</v>
      </c>
      <c r="F4">
        <v>1</v>
      </c>
      <c r="G4">
        <v>12</v>
      </c>
      <c r="H4">
        <v>31</v>
      </c>
    </row>
    <row r="5" spans="1:18" x14ac:dyDescent="0.3">
      <c r="A5" s="16"/>
      <c r="B5" t="s">
        <v>238</v>
      </c>
      <c r="C5" s="1" t="s">
        <v>5</v>
      </c>
      <c r="D5" t="s">
        <v>200</v>
      </c>
      <c r="E5">
        <v>1</v>
      </c>
      <c r="F5">
        <v>1</v>
      </c>
      <c r="G5">
        <v>12</v>
      </c>
      <c r="H5">
        <v>31</v>
      </c>
    </row>
    <row r="6" spans="1:18" x14ac:dyDescent="0.3">
      <c r="A6" s="16"/>
      <c r="B6" t="s">
        <v>239</v>
      </c>
      <c r="C6" s="1" t="s">
        <v>70</v>
      </c>
      <c r="D6" t="s">
        <v>201</v>
      </c>
      <c r="E6">
        <v>1</v>
      </c>
      <c r="F6">
        <v>1</v>
      </c>
      <c r="G6">
        <v>12</v>
      </c>
      <c r="H6">
        <v>31</v>
      </c>
    </row>
    <row r="7" spans="1:18" x14ac:dyDescent="0.3">
      <c r="A7" s="16"/>
      <c r="B7" t="s">
        <v>240</v>
      </c>
      <c r="C7" s="1" t="s">
        <v>70</v>
      </c>
      <c r="D7" t="s">
        <v>202</v>
      </c>
      <c r="E7">
        <v>1</v>
      </c>
      <c r="F7">
        <v>1</v>
      </c>
      <c r="G7">
        <v>3</v>
      </c>
      <c r="H7">
        <v>31</v>
      </c>
    </row>
  </sheetData>
  <mergeCells count="1">
    <mergeCell ref="A1:A7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EC718D-8BDB-4783-B1BE-299DCEA3D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Functions</vt:lpstr>
      <vt:lpstr>WWR</vt:lpstr>
      <vt:lpstr>SIMULATIONCONTROL</vt:lpstr>
      <vt:lpstr>VERSION</vt:lpstr>
      <vt:lpstr>BUILDING</vt:lpstr>
      <vt:lpstr>TIMESTEP</vt:lpstr>
      <vt:lpstr>RUNPERIOD</vt:lpstr>
      <vt:lpstr>SITE_LOCATION</vt:lpstr>
      <vt:lpstr>SIZINGPERIOD_DESIGNDAY</vt:lpstr>
      <vt:lpstr>SIZING_ZONE</vt:lpstr>
      <vt:lpstr>SHADOWCALCULATION</vt:lpstr>
      <vt:lpstr>GLOBALGEOMETRYRULES</vt:lpstr>
      <vt:lpstr>SCHEDULETYPELIMITS</vt:lpstr>
      <vt:lpstr>SCHEDULE_DAY_HOURLY</vt:lpstr>
      <vt:lpstr>SCHEDULE_WEEK_DAILY</vt:lpstr>
      <vt:lpstr>SCHEDULE_YEAR</vt:lpstr>
      <vt:lpstr>MATERIAL_NOMASS</vt:lpstr>
      <vt:lpstr>WINDOWMATERIAL</vt:lpstr>
      <vt:lpstr>CONSTRUCTION</vt:lpstr>
      <vt:lpstr>PEOPLE</vt:lpstr>
      <vt:lpstr>LIGHTS</vt:lpstr>
      <vt:lpstr>ELECTRICEQUIPMENT</vt:lpstr>
      <vt:lpstr>THERMOSTATSETPOINT_DUALSETPOINT</vt:lpstr>
      <vt:lpstr>ZONECONTROL_THERMOSTAT</vt:lpstr>
      <vt:lpstr>HVACTEMPLATE_THERMOSTAT</vt:lpstr>
      <vt:lpstr>ZONEINFILTRATION_DESIGNFLOWRATE</vt:lpstr>
      <vt:lpstr>DESIGNSPECIFICATION_OUTDOORAIR</vt:lpstr>
      <vt:lpstr>ZONEHVAC_IDEALLOADSAIRSYSTEM</vt:lpstr>
      <vt:lpstr>OUTPUT_VARIABLE</vt:lpstr>
      <vt:lpstr>OUTPUT_VARIABLEDICTIONARY</vt:lpstr>
      <vt:lpstr>Sheet9</vt:lpstr>
      <vt:lpstr>xxx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 gu</dc:creator>
  <cp:lastModifiedBy>Sophie ah</cp:lastModifiedBy>
  <dcterms:created xsi:type="dcterms:W3CDTF">2023-12-23T09:29:32Z</dcterms:created>
  <dcterms:modified xsi:type="dcterms:W3CDTF">2024-10-17T08:02:30Z</dcterms:modified>
</cp:coreProperties>
</file>